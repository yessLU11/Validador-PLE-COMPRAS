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YESS\codigo_PLE_COMPRAS\Nueva carpeta\"/>
    </mc:Choice>
  </mc:AlternateContent>
  <xr:revisionPtr revIDLastSave="0" documentId="13_ncr:1_{02C056F4-8ACE-428A-8F64-6FCD03A77D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8.1" sheetId="1" r:id="rId1"/>
  </sheets>
  <definedNames>
    <definedName name="_xlnm._FilterDatabase" localSheetId="0" hidden="1">'8.1'!$A$7:$AS$7</definedName>
    <definedName name="LE2010003059520250500080100001111_3" localSheetId="0">'8.1'!$B$8:$AQ$137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9" i="1" l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8" i="1" l="1"/>
  <c r="R138" i="1" l="1"/>
  <c r="S138" i="1"/>
  <c r="T138" i="1"/>
  <c r="U138" i="1"/>
  <c r="V138" i="1"/>
  <c r="W138" i="1"/>
  <c r="X138" i="1"/>
  <c r="Y138" i="1"/>
  <c r="Q1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E2010003059520250500080100001111-3" type="6" refreshedVersion="6" background="1" saveData="1">
    <textPr codePage="932" sourceFile="C:\Users\wmejia\Desktop\RESPALDO 2022\william\cuadre\2025\05_MAYO\COPAM12\LE2010003059520250500080100001111-3.txt" delimiter="|">
      <textFields count="42">
        <textField/>
        <textField/>
        <textField/>
        <textField type="text"/>
        <textField type="text"/>
        <textField type="text"/>
        <textField type="text"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<sst xmlns="http://schemas.openxmlformats.org/spreadsheetml/2006/main" count="2308" uniqueCount="601">
  <si>
    <t>Campo</t>
  </si>
  <si>
    <t>1</t>
  </si>
  <si>
    <t>2</t>
  </si>
  <si>
    <t>3</t>
  </si>
  <si>
    <t>4</t>
  </si>
  <si>
    <t>5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</si>
  <si>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</si>
  <si>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</si>
  <si>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</si>
  <si>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</si>
  <si>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</si>
  <si>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</si>
  <si>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</si>
  <si>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</si>
  <si>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</si>
  <si>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</si>
  <si>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</si>
  <si>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</si>
  <si>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</si>
  <si>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</si>
  <si>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</si>
  <si>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</si>
  <si>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</si>
  <si>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</si>
  <si>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</si>
  <si>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</si>
  <si>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</si>
  <si>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</si>
  <si>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</si>
  <si>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</si>
  <si>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</si>
  <si>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</si>
  <si>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</si>
  <si>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</si>
  <si>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</si>
  <si>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</si>
  <si>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</si>
  <si>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</si>
  <si>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</si>
  <si>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</si>
  <si>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</si>
  <si>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Descripción</t>
  </si>
  <si>
    <t>Periodo (AAAAMM00)</t>
  </si>
  <si>
    <t>Código Único de la Operación (CUO)</t>
  </si>
  <si>
    <t>Número correlativo del asiento contable identificado en el campo 2, cuando se utilice el CUO.</t>
  </si>
  <si>
    <t>Fecha de emisión del comprobante de pago o documento</t>
  </si>
  <si>
    <t>Fecha de Vencimiento o Fecha de Pago</t>
  </si>
  <si>
    <t>Tipo de Comprobante de Pago o Documento</t>
  </si>
  <si>
    <t>Serie del comprobante de pago o documento.</t>
  </si>
  <si>
    <t>Año de emisión de la DUA o DSI</t>
  </si>
  <si>
    <t>Número del comprobante de pago o documento o número de orden del formulario.</t>
  </si>
  <si>
    <t>En caso de optar por anotar el importe total de las operaciones diarias...en forma consolidada, registrar el número final</t>
  </si>
  <si>
    <t>Tipo de Documento de Identidad del proveedor</t>
  </si>
  <si>
    <t>Número de RUC del proveedor o número de documento de Identidad, según corresponda.</t>
  </si>
  <si>
    <t>Apellidos y nombres, denominación o razón social  del proveedor. En caso de personas naturales se debe consignar los datos en el siguiente orden: apellido paterno, apellido materno y nombre completo.</t>
  </si>
  <si>
    <t>Base imponible de las adquisiciones gravadas ... destinadas exclusivamente a operaciones gravadas y/o de exportación</t>
  </si>
  <si>
    <t>Monto del Impuesto General a las Ventas y/o Impuesto de Promoción Municipal</t>
  </si>
  <si>
    <t>Base imponible de las adquisiciones gravadas ... destinadas a operaciones gravadas y/o de exportación y a operaciones no gravadas</t>
  </si>
  <si>
    <t>Base imponible de las adquisiciones gravadas que no dan derecho a crédito fiscal …</t>
  </si>
  <si>
    <t>Valor de las adquisiciones no gravadas</t>
  </si>
  <si>
    <t>Monto del Impuesto Selectivo al Consumo en los casos en que el sujeto pueda utilizarlo como deducción.</t>
  </si>
  <si>
    <t>Impuesto al consumo de las bolsas de plastico</t>
  </si>
  <si>
    <t>Otros conceptos, tributos y cargos que no formen parte de la base imponible.</t>
  </si>
  <si>
    <t>Importe total de las adquisiciones registradas según comprobante de pago.</t>
  </si>
  <si>
    <t>Código de la Moneda (Tabla 4)</t>
  </si>
  <si>
    <t>Tipo de cambio</t>
  </si>
  <si>
    <t>Fecha de emisión del comprobante de pago que se modifica</t>
  </si>
  <si>
    <t>Tipo de comprobante de pago que se modifica</t>
  </si>
  <si>
    <t>Número de serie del comprobante de pago que se modifica</t>
  </si>
  <si>
    <t>Código dependencia aduanera</t>
  </si>
  <si>
    <t>Número del comprobante de pago que se modifica</t>
  </si>
  <si>
    <t xml:space="preserve">Fecha de emisión de la Constancia de Depósito de Detracción </t>
  </si>
  <si>
    <t>Número de la Constancia de Depósito de Detracción</t>
  </si>
  <si>
    <t>Marca del comprobante de pago sujeto a retención</t>
  </si>
  <si>
    <t>Clasificación de los bienes y servicios adquiridos (Tabla 30)</t>
  </si>
  <si>
    <t>Identificación del Contrato o del proyecto en el caso de los Operadores de las sociedades irregulares</t>
  </si>
  <si>
    <t>Error tipo 1: inconsistencia en el tipo de cambio</t>
  </si>
  <si>
    <t>Error tipo 2: inconsistencia por proveedores no habidos</t>
  </si>
  <si>
    <t>Error tipo 3: inconsistencia por proveedores que renunciaron a la exoneración del Apéndice I del IGV</t>
  </si>
  <si>
    <t>Error tipo 4: inconsistencia por DNIs que fueron utilizados en las Liquidaciones de Compra</t>
  </si>
  <si>
    <t>Indicador de Comprobantes de pago cancelados con medios de pago</t>
  </si>
  <si>
    <t>Estado que identifica la oportunidad de la anotación o indicación si ésta corresponde a un ajuste.</t>
  </si>
  <si>
    <t>Long.</t>
  </si>
  <si>
    <t>Hasta 40</t>
  </si>
  <si>
    <t>De 2 hasta 10</t>
  </si>
  <si>
    <t>Hasta 20</t>
  </si>
  <si>
    <t>Hasta 15</t>
  </si>
  <si>
    <t>Hasta 100</t>
  </si>
  <si>
    <t>Hasta 12 enteros y 2 decimales, sin comas de miles</t>
  </si>
  <si>
    <t>1 entero y 3 decimales</t>
  </si>
  <si>
    <t>Hasta 24</t>
  </si>
  <si>
    <t>Obligatorio</t>
  </si>
  <si>
    <t>Si</t>
  </si>
  <si>
    <t>No</t>
  </si>
  <si>
    <t>Formato</t>
  </si>
  <si>
    <t>Numérico</t>
  </si>
  <si>
    <t>Texto</t>
  </si>
  <si>
    <t>Alfanumérico</t>
  </si>
  <si>
    <t>DD/MM/AAAA</t>
  </si>
  <si>
    <t>Alfanuméri.</t>
  </si>
  <si>
    <t>Observacion.</t>
  </si>
  <si>
    <t>1. Obligatorio
2. Validar formato AAAAMM00
3. 01 &lt;= MM &lt;= 12
4. Menor o igual al periodo informado
5. Si periodo es menor a periodo informado, entonces campo 41 es igual a '9' o '6' o '7'
6. Si el periodo es igual a periodo informado, campo 41 es igual a '0' o '1'</t>
  </si>
  <si>
    <t>1. Obligatorio
2. Si el campo 41 es igual a '0'', 1' o '6' o '7', consignar el Código Único de la Operación (CUO) o número correlativo de la operación que se está informando
3. Si el campo 41 es igual a '9', consignar el Código Único de la Operación (CUO) o número correlativo de la operación original que se modifica
4. No acepta el caracter "&amp;"
5. Si el CUO proviene de un asiento contable consolidado se debe adicionar un número secuencial separado de un guión "-".</t>
  </si>
  <si>
    <t>1. Obligatorio
2. El primer dígito debe ser: A, M o C
3. En los casos de Contribuyentes del RER:Consignar M-RER.
4. No acepta el caracter "&amp;"</t>
  </si>
  <si>
    <t>1. Obligatorio
2. Menor o igual al periodo informado
5. Si fecha de emisión está dentro de los doce meses anteriores al periodo señalado en el campo 1, entonces campo 41 = '6'
6. Si fecha de emisión está fuera de los doce meses anteriores al periodo señalado en el campo 1, entonces campo 41 = '7'</t>
  </si>
  <si>
    <t>1. Opcional, excepto cuando el campo 6 = '14' en cuyo caso es obligatorio
2. Menor o igual al mes siguiente del periodo informado
3. Menor o igual al mes siguiente del periodo señalado en el campo 1.</t>
  </si>
  <si>
    <t>1. Obligatorio
2. Validar con parámetro tabla 10
3. No permite los tipos de comprobantes o documentos "91", "97" y "98"de la tabla 10</t>
  </si>
  <si>
    <t>1. Optativo
2. Aplicar Regla General (tipo y nro. doc.)</t>
  </si>
  <si>
    <t>1. Si campo 6 = '50' , '52' registrar número mayor a 1981 y menor o igual al año del periodo informado o al año del periodo señalado en el campo 1.</t>
  </si>
  <si>
    <t>1. Obligatorio
2. Aplicar Regla General (por tipo de doc.)</t>
  </si>
  <si>
    <t>1. Si campo 6 = '00','03','05','06','07','08','11','12','13','14','15','16','18','19','23','26','28','30','34','35','36','37','55','56','87' y '88' y campo 9 sea mayor o igual a cero</t>
  </si>
  <si>
    <t>… 2. Validar con parámetro tabla 2, no acepta el tipo de documento 0</t>
  </si>
  <si>
    <t>1. Obligatorio, excepto cuando
a. campo 6 = '00','03','05','06','07','08','11','12','13','14','15','16','18','19','22','23','26','28','30','34','35','36','37','55','56','87','88', '91', '97' y '98' 
o b. campo 6 = '07', '08', '87', '88', '97', '98' y campo 27 = '03', '12', '13', '14' y '36' en cuyos casos será opcional
2. Aplicar Regla General (por tipo de doc.)</t>
  </si>
  <si>
    <t>1. Obligatorio, excepto cuando a. campo 6 = '00','03','05','06','07','08','11','12','13','14','15','16','18','19','22','23','26','28','30','34','35','36','37','55','56','87','88', '91', '97' y '98' o b. campo 6 = '07', '08', '87', '88', '97', '98' y campo 27 = '03', '12', '13', '14' y '36'</t>
  </si>
  <si>
    <t>1. Acepta negativos</t>
  </si>
  <si>
    <t>1. Negativo si campo 14 es negtivo
2. Positivo si campo 14 es positivo
3. Impuesto que corresponde a la adquisición registrada conforme lo dispuesto en el campo 14.</t>
  </si>
  <si>
    <t>1. Negativo si campo 16 es negtivo
2. Positivo si campo 16 es positivo
3. Impuesto que corresponde a la adquisición registrada conforme lo dispuesto en el campo 16.</t>
  </si>
  <si>
    <t>1. Negativo si campo 18 es negativo.
2. Positivo si campo 18 es positivo.
2. Impuesto que corresponde a la adquisición registrada conforme lo dispuesto en el campo 18.</t>
  </si>
  <si>
    <t>1. Validar con parámetro tabla 4</t>
  </si>
  <si>
    <t>1. #.###
2. Positivo</t>
  </si>
  <si>
    <t>1. Obligatorio, si campo 6 = '07' o '08' o '87' o '88' o '97' o '98'2. Menor o igual al periodo informado3. Menor o igual al periodo señalado en el campo 1.</t>
  </si>
  <si>
    <t>1. Obligatorio si campo 6 = '07' o '08' o '87' o '88' o '97' o '98'2. Validar con parámetro tabla 10</t>
  </si>
  <si>
    <t>1. Obligatorio si campo 6 = '07' o '08' o '87' o '88' o '97' o '98'2. Aplicar Regla General (por tipo de doc.)</t>
  </si>
  <si>
    <t>1. Obligatorio si campo 27 = '50' , '52'. Validar con parámetro tabla 11</t>
  </si>
  <si>
    <t>1. Obligatorio si campo 6 = '07' o '08' o '87' o '88' o '97' o '98'</t>
  </si>
  <si>
    <t>1. Menor o igual al mes siguiente del periodo informado2. Menor o igual al mes siguiente del periodo señalado en el campo 1.</t>
  </si>
  <si>
    <t>1. Positivo, de ser numérico</t>
  </si>
  <si>
    <t>1. Si identifica el comprobante sujeto a retención consignar '1' caso contrario no consignar nada</t>
  </si>
  <si>
    <t>1. Validar con parámetro tabla 30</t>
  </si>
  <si>
    <t>1. Uso exclusivo para los Operadores de las sociedades irregulares, consorcios, joint ventures u otras formas de contratos de colaboración empresarial, que no lleven contabilidad independiente. En este caso, deberán identificar cada contrato o proyecto.</t>
  </si>
  <si>
    <t>1. El tipo de cambio (campo 25) correspondiente a la fecha de emisión (campo 4) debe ser igual al tipo de cambio (campo 3) correspondiente a la fecha (campo 1) de la Estructura 1 Tipo de Cambio, del mismo periodo, caso contrario se debe consignar "1". Esto se aplica a todos los tipos de comprobantes de pago, excepto el tipo 14 (tabla 10)...</t>
  </si>
  <si>
    <t>1. El número de RUC (campo 12) no debe ser igual al número de RUC (campo 1) de la Estructura 2 Padrón de RUCs no Habidos, siempre que la fecha (campo 4) se encuentre comprendida entre la fecha de inicio en que adquirió la condición de no habido (campo 2) y la la fecha de fin de la condición de no habido (campo3) de la Estructura 2 Padrón de RUCs no Habidos, caso contrario se debe consignar "1". Esto se aplica a todos los tipos de comprobantes de pago (tabla 10).</t>
  </si>
  <si>
    <t>1. El número de RUC (campo 12) no debe ser igual al número de RUC (campo 1) de la Estructura 3 Padrón de RUCs que renunciaron a la exoneración del IGV, siempre que la fecha (campo 4) sea menor a la fecha que renunció a la exoneración del IGV (campo 2) de la Estructura 3 Padrón de RUCs que renunciaron a la exoneración del IGV, caso contrario se debe consignar "1". Esto se aplica a todos los tipos de comprobantes de pago (tabla 10).</t>
  </si>
  <si>
    <t>1. El número de DNI (campo 12) no debe ser igual al número de DNI (campo 1) de la Estructura 4 Padrón de RUCs asociados al DNI, siempre que la fecha (campo 4) sea menor a la fecha que se crea el RUC (campo 3) de la Estructura 4 Padrón de RUCs asociados al DNI, caso contrario se debe consignar "1". Esto se aplica sólo al tipo de comprobante de pago 04 "Liquidaciones de Compra" (tabla 10).</t>
  </si>
  <si>
    <t>1. Consignar "1" si el comprobante de pago fue cancelado con algún medio de pago establecido en la tabla 1, caso contrario no consignar nada</t>
  </si>
  <si>
    <t>1. Obligatorio
2. Registrar '0' si CdP no da derecho a CF.
3. Registrar '1' si se anota el CdP en el periodo, y da derecho al CF.
4. Registrar '6' si la fecha emisión de CdP, es anterior al periodo y dentro de los doce meses siguientes a la emisión
5. Registrar '7' si fecha emisión de CdP, es anterior al periodo y se produce luego de los doce meses siguientes a la emisión.
6. Registrar '9' cuando se realice un ajuste en la anotación de la información de una operación registrada en un periodo anterior.</t>
  </si>
  <si>
    <t>7</t>
  </si>
  <si>
    <t>8</t>
  </si>
  <si>
    <t>provision</t>
  </si>
  <si>
    <t xml:space="preserve">          </t>
  </si>
  <si>
    <t xml:space="preserve">                    </t>
  </si>
  <si>
    <t xml:space="preserve">   </t>
  </si>
  <si>
    <t>01/01/0001</t>
  </si>
  <si>
    <t xml:space="preserve">-                   </t>
  </si>
  <si>
    <t xml:space="preserve"> </t>
  </si>
  <si>
    <t xml:space="preserve">            </t>
  </si>
  <si>
    <t>0</t>
  </si>
  <si>
    <t>01</t>
  </si>
  <si>
    <t>08/04/2025</t>
  </si>
  <si>
    <t>07/04/2025</t>
  </si>
  <si>
    <t>04/04/2025</t>
  </si>
  <si>
    <t>29/04/2025</t>
  </si>
  <si>
    <t>30/04/2025</t>
  </si>
  <si>
    <t>11/04/2025</t>
  </si>
  <si>
    <t>15/04/2025</t>
  </si>
  <si>
    <t>0.00</t>
  </si>
  <si>
    <t>PEN</t>
  </si>
  <si>
    <t>F001</t>
  </si>
  <si>
    <t>-</t>
  </si>
  <si>
    <t>E001</t>
  </si>
  <si>
    <t>20519398169</t>
  </si>
  <si>
    <t xml:space="preserve">PATRIMONIO EN FIDEICOMISO D.S Nｰ093-2002-EF INTERPROPERTIES </t>
  </si>
  <si>
    <t>09/04/2025</t>
  </si>
  <si>
    <t>31/03/2025</t>
  </si>
  <si>
    <t>28/02/2025</t>
  </si>
  <si>
    <t>28/04/2025</t>
  </si>
  <si>
    <t>24/04/2025</t>
  </si>
  <si>
    <t>F003</t>
  </si>
  <si>
    <t>FA01</t>
  </si>
  <si>
    <t>12/03/2025</t>
  </si>
  <si>
    <t>FE06</t>
  </si>
  <si>
    <t>26/03/2025</t>
  </si>
  <si>
    <t>F002</t>
  </si>
  <si>
    <t>07/05/2025</t>
  </si>
  <si>
    <t>02/04/2025</t>
  </si>
  <si>
    <t>06/05/2025</t>
  </si>
  <si>
    <t>10/04/2025</t>
  </si>
  <si>
    <t>02/05/2025</t>
  </si>
  <si>
    <t>21/03/2025</t>
  </si>
  <si>
    <t>14/04/2025</t>
  </si>
  <si>
    <t>31/05/2025</t>
  </si>
  <si>
    <t>20331898008</t>
  </si>
  <si>
    <t>LUZ DEL SUR S.A.A</t>
  </si>
  <si>
    <t>09/05/2025</t>
  </si>
  <si>
    <t>28/05/2025</t>
  </si>
  <si>
    <t>20/05/2025</t>
  </si>
  <si>
    <t>30/05/2025</t>
  </si>
  <si>
    <t>20388829452</t>
  </si>
  <si>
    <t>LASINO S.A.</t>
  </si>
  <si>
    <t>10719028492</t>
  </si>
  <si>
    <t>22/05/2025</t>
  </si>
  <si>
    <t>20605749381</t>
  </si>
  <si>
    <t>TAXI RUMI EXPRESS S.A.C.</t>
  </si>
  <si>
    <t>20507661441</t>
  </si>
  <si>
    <t>SURGOURMET SOCIEDAD ANONIMA CERRADA</t>
  </si>
  <si>
    <t>F006</t>
  </si>
  <si>
    <t>20269985900</t>
  </si>
  <si>
    <t>PLUZ ENERGﾍA PERﾚ S.A.A.</t>
  </si>
  <si>
    <t>F011</t>
  </si>
  <si>
    <t>227-441899-12-12</t>
  </si>
  <si>
    <t>M441899-12</t>
  </si>
  <si>
    <t>20611218941</t>
  </si>
  <si>
    <t>SERVICIO DE TAXI AEROPUERTO S.A.C.</t>
  </si>
  <si>
    <t>227-441864-9-9</t>
  </si>
  <si>
    <t>M441864-9</t>
  </si>
  <si>
    <t>27/03/2025</t>
  </si>
  <si>
    <t>20541289594</t>
  </si>
  <si>
    <t xml:space="preserve">GRAN HOSTAL SUPER STAR S.A.C.           </t>
  </si>
  <si>
    <t>227-441865-4-4</t>
  </si>
  <si>
    <t>M441865-4</t>
  </si>
  <si>
    <t>16/04/2025</t>
  </si>
  <si>
    <t>F328</t>
  </si>
  <si>
    <t>20602221505</t>
  </si>
  <si>
    <t>ZBUSS S.A.C</t>
  </si>
  <si>
    <t>S106</t>
  </si>
  <si>
    <t>20100152356</t>
  </si>
  <si>
    <t>SERV AGUA POTAB Y ALCANT DE LIMA-SEDAPAL</t>
  </si>
  <si>
    <t>FT01</t>
  </si>
  <si>
    <t>20608300393</t>
  </si>
  <si>
    <t>COMPAﾑIA FOOD RETAIL S.A.C.</t>
  </si>
  <si>
    <t>227-441864-4-4</t>
  </si>
  <si>
    <t>M441864-4</t>
  </si>
  <si>
    <t>28/03/2025</t>
  </si>
  <si>
    <t>20528433911</t>
  </si>
  <si>
    <t>IVALU REFRIGERIOS SOCIEDAD COMERCIAL DE RESPONSABILIDAD LIMI</t>
  </si>
  <si>
    <t>26/04/2025</t>
  </si>
  <si>
    <t>20231843460</t>
  </si>
  <si>
    <t>COSTA DEL SOL S.A.</t>
  </si>
  <si>
    <t>F103</t>
  </si>
  <si>
    <t>FE01</t>
  </si>
  <si>
    <t>07</t>
  </si>
  <si>
    <t>S310</t>
  </si>
  <si>
    <t>29/03/2025</t>
  </si>
  <si>
    <t>24/03/2025</t>
  </si>
  <si>
    <t>F014</t>
  </si>
  <si>
    <t>227-441949</t>
  </si>
  <si>
    <t>M441949</t>
  </si>
  <si>
    <t>227-441950</t>
  </si>
  <si>
    <t>M441950</t>
  </si>
  <si>
    <t>S430</t>
  </si>
  <si>
    <t>18/03/2025</t>
  </si>
  <si>
    <t>227-441852-8-8</t>
  </si>
  <si>
    <t>M441852-8</t>
  </si>
  <si>
    <t>FB80</t>
  </si>
  <si>
    <t>20555901179</t>
  </si>
  <si>
    <t>MOVIL BUS S.A.C</t>
  </si>
  <si>
    <t>227-441908-8</t>
  </si>
  <si>
    <t>M441908-8</t>
  </si>
  <si>
    <t>227-441885</t>
  </si>
  <si>
    <t>M441885</t>
  </si>
  <si>
    <t>S130</t>
  </si>
  <si>
    <t>F128</t>
  </si>
  <si>
    <t>20100123330</t>
  </si>
  <si>
    <t>DELOSI S.A.</t>
  </si>
  <si>
    <t>227-441851-5-5</t>
  </si>
  <si>
    <t>M441851-5</t>
  </si>
  <si>
    <t>15602662401</t>
  </si>
  <si>
    <t>ZHENG XUEYUN</t>
  </si>
  <si>
    <t>227-441866-3-3</t>
  </si>
  <si>
    <t>M441866-3</t>
  </si>
  <si>
    <t>12/04/2025</t>
  </si>
  <si>
    <t>F202</t>
  </si>
  <si>
    <t>03/04/2025</t>
  </si>
  <si>
    <t>20607250651</t>
  </si>
  <si>
    <t>TOURS TAMBO LA MAR VRAEM S.A.</t>
  </si>
  <si>
    <t>227-441865-3-3</t>
  </si>
  <si>
    <t>M441865-3</t>
  </si>
  <si>
    <t>F337</t>
  </si>
  <si>
    <t>S550</t>
  </si>
  <si>
    <t>227-441905-3-3</t>
  </si>
  <si>
    <t>M441905-3</t>
  </si>
  <si>
    <t>20600096631</t>
  </si>
  <si>
    <t xml:space="preserve">DIMAROP S.A.C.                          </t>
  </si>
  <si>
    <t>227-441852-3-3</t>
  </si>
  <si>
    <t>M441852-3</t>
  </si>
  <si>
    <t>FA76</t>
  </si>
  <si>
    <t>227-441897</t>
  </si>
  <si>
    <t>M441897</t>
  </si>
  <si>
    <t>S117</t>
  </si>
  <si>
    <t>20601644020</t>
  </si>
  <si>
    <t>F &amp; H CONSTRUCCIONES INGENIEROS S.A.C.</t>
  </si>
  <si>
    <t>F503</t>
  </si>
  <si>
    <t>227-441905-6-6</t>
  </si>
  <si>
    <t>M441905-6</t>
  </si>
  <si>
    <t>227-441898</t>
  </si>
  <si>
    <t>M441898</t>
  </si>
  <si>
    <t>S134</t>
  </si>
  <si>
    <t>14/01/2025</t>
  </si>
  <si>
    <t>227-441901</t>
  </si>
  <si>
    <t>M441901</t>
  </si>
  <si>
    <t>26/06/2024</t>
  </si>
  <si>
    <t>269536769</t>
  </si>
  <si>
    <t>227-441852-9-9</t>
  </si>
  <si>
    <t>M441852-9</t>
  </si>
  <si>
    <t>FB89</t>
  </si>
  <si>
    <t>227-441886</t>
  </si>
  <si>
    <t>M441886</t>
  </si>
  <si>
    <t>227-441884</t>
  </si>
  <si>
    <t>M441884</t>
  </si>
  <si>
    <t>227-441890</t>
  </si>
  <si>
    <t>M441890</t>
  </si>
  <si>
    <t>S119</t>
  </si>
  <si>
    <t>227-441866-4-4</t>
  </si>
  <si>
    <t>M441866-4</t>
  </si>
  <si>
    <t>13/04/2025</t>
  </si>
  <si>
    <t>227-441896</t>
  </si>
  <si>
    <t>M441896</t>
  </si>
  <si>
    <t>S118</t>
  </si>
  <si>
    <t>227-441923</t>
  </si>
  <si>
    <t>M441923</t>
  </si>
  <si>
    <t>S220</t>
  </si>
  <si>
    <t>227-441925</t>
  </si>
  <si>
    <t>M441925</t>
  </si>
  <si>
    <t>227-441928</t>
  </si>
  <si>
    <t>M441928</t>
  </si>
  <si>
    <t>227-441864-10-10</t>
  </si>
  <si>
    <t>M441864-10</t>
  </si>
  <si>
    <t>10436498638</t>
  </si>
  <si>
    <t>MACAHUACHI PICON ERICK LUIS</t>
  </si>
  <si>
    <t>227-441852-5-5</t>
  </si>
  <si>
    <t>M441852-5</t>
  </si>
  <si>
    <t>F142</t>
  </si>
  <si>
    <t>227-441852-4-4</t>
  </si>
  <si>
    <t>M441852-4</t>
  </si>
  <si>
    <t>227-441905-5-5</t>
  </si>
  <si>
    <t>M441905-5</t>
  </si>
  <si>
    <t>227-441854-7</t>
  </si>
  <si>
    <t>M441854-7</t>
  </si>
  <si>
    <t>22/03/2025</t>
  </si>
  <si>
    <t>FR85</t>
  </si>
  <si>
    <t>20505670443</t>
  </si>
  <si>
    <t>NESSUS HOTELES PERU S.A.</t>
  </si>
  <si>
    <t>227-441864-7-7</t>
  </si>
  <si>
    <t>M441864-7</t>
  </si>
  <si>
    <t>20611477636</t>
  </si>
  <si>
    <t>HOTEL YAQUERANA E.I.R.L.</t>
  </si>
  <si>
    <t>227-441863-13-13</t>
  </si>
  <si>
    <t>M441863-13</t>
  </si>
  <si>
    <t>10486824986</t>
  </si>
  <si>
    <t>VALERIO GOMEZ MICHELL STEVEN</t>
  </si>
  <si>
    <t>227-441908-4-4</t>
  </si>
  <si>
    <t>M441908-4</t>
  </si>
  <si>
    <t>20602444750</t>
  </si>
  <si>
    <t>DULCE CAFETI SOCIEDAD ANﾓNIMA CERRADA</t>
  </si>
  <si>
    <t>227-441882</t>
  </si>
  <si>
    <t>M441882</t>
  </si>
  <si>
    <t>227-441851-4-4</t>
  </si>
  <si>
    <t>M441851-4</t>
  </si>
  <si>
    <t>20526575980</t>
  </si>
  <si>
    <t>MATHEOS NEW LIFE EMPRESA INDIVIDUAL DE R</t>
  </si>
  <si>
    <t>20541192833</t>
  </si>
  <si>
    <t>INVERSIONES BGG ORIENTE SAC</t>
  </si>
  <si>
    <t>20509076945</t>
  </si>
  <si>
    <t>CINCO MILLAS S.A.C.</t>
  </si>
  <si>
    <t>227-441922</t>
  </si>
  <si>
    <t>M441922</t>
  </si>
  <si>
    <t>227-441951</t>
  </si>
  <si>
    <t>M441951</t>
  </si>
  <si>
    <t>227-441945</t>
  </si>
  <si>
    <t>M441945</t>
  </si>
  <si>
    <t>20452833213</t>
  </si>
  <si>
    <t>EMPRESA DE TRANSPORTE Y TURISMO RASUHUILLCA SAC</t>
  </si>
  <si>
    <t>227-441856-2-2</t>
  </si>
  <si>
    <t>M441856-2</t>
  </si>
  <si>
    <t>227-441862-6-6</t>
  </si>
  <si>
    <t>M441862-6</t>
  </si>
  <si>
    <t>227-441856-4-4</t>
  </si>
  <si>
    <t>M441856-4</t>
  </si>
  <si>
    <t>227-441855-14</t>
  </si>
  <si>
    <t>M441855-14</t>
  </si>
  <si>
    <t>20612936511</t>
  </si>
  <si>
    <t>CALOTODI S.A.C.</t>
  </si>
  <si>
    <t>227-441856-6</t>
  </si>
  <si>
    <t>M441856-6</t>
  </si>
  <si>
    <t>227-441902-18</t>
  </si>
  <si>
    <t>M441902-18</t>
  </si>
  <si>
    <t>20608132458</t>
  </si>
  <si>
    <t>A&amp;M MULTISERVICIOS MALPARTIDA E.I.R.L.</t>
  </si>
  <si>
    <t>227-441875</t>
  </si>
  <si>
    <t>M441875</t>
  </si>
  <si>
    <t>227-441870</t>
  </si>
  <si>
    <t>M441870</t>
  </si>
  <si>
    <t>227-441871</t>
  </si>
  <si>
    <t>M441871</t>
  </si>
  <si>
    <t>227-441872-6</t>
  </si>
  <si>
    <t>M441872-6</t>
  </si>
  <si>
    <t>F096</t>
  </si>
  <si>
    <t>227-441933</t>
  </si>
  <si>
    <t>M441933</t>
  </si>
  <si>
    <t>227-441947</t>
  </si>
  <si>
    <t>M441947</t>
  </si>
  <si>
    <t>F024</t>
  </si>
  <si>
    <t>227-441852-6-6</t>
  </si>
  <si>
    <t>M441852-6</t>
  </si>
  <si>
    <t>20601893895</t>
  </si>
  <si>
    <t>DULCEZA E.I.R.L.</t>
  </si>
  <si>
    <t>227-441902-5-5</t>
  </si>
  <si>
    <t>M441902-5</t>
  </si>
  <si>
    <t>20528161651</t>
  </si>
  <si>
    <t>RESTAURANT CEVICHERIA EL MIJANO E.I.R.L.</t>
  </si>
  <si>
    <t>FD01</t>
  </si>
  <si>
    <t>227-441860-11-11</t>
  </si>
  <si>
    <t>M441860-11</t>
  </si>
  <si>
    <t>227-441864-2-2</t>
  </si>
  <si>
    <t>M441864-2</t>
  </si>
  <si>
    <t>20607571211</t>
  </si>
  <si>
    <t>IQUITOS PRODUCE EMPRESA INDIVIDUAL DE RESPONSABILIDAD LIMITA</t>
  </si>
  <si>
    <t>227-441863-14-14</t>
  </si>
  <si>
    <t>M441863-14</t>
  </si>
  <si>
    <t>227-441908-5-5</t>
  </si>
  <si>
    <t>M441908-5</t>
  </si>
  <si>
    <t>20505897812</t>
  </si>
  <si>
    <t>CORPORACION PERUANA DE RESTAURANTES S.A.C.</t>
  </si>
  <si>
    <t>227-441880</t>
  </si>
  <si>
    <t>M441880</t>
  </si>
  <si>
    <t>227-441873</t>
  </si>
  <si>
    <t>M441873</t>
  </si>
  <si>
    <t>227-441863-15-15</t>
  </si>
  <si>
    <t>M441863-15</t>
  </si>
  <si>
    <t>227-441935</t>
  </si>
  <si>
    <t>M441935</t>
  </si>
  <si>
    <t>227-441944</t>
  </si>
  <si>
    <t>M441944</t>
  </si>
  <si>
    <t>10449151351</t>
  </si>
  <si>
    <t>CHAVARRIA GUTIERREZ HONORIO LUCIANO</t>
  </si>
  <si>
    <t>227-441899-11-11</t>
  </si>
  <si>
    <t>M441899-11</t>
  </si>
  <si>
    <t>20609264111</t>
  </si>
  <si>
    <t>EMPRESA DE TAXIS PROTTAC PERU SOCIEDAD ANONIMA</t>
  </si>
  <si>
    <t>227-441856-14</t>
  </si>
  <si>
    <t>M441856-14</t>
  </si>
  <si>
    <t>227-441905-9-9</t>
  </si>
  <si>
    <t>M441905-9</t>
  </si>
  <si>
    <t>20351612011</t>
  </si>
  <si>
    <t>CHIFA MEY LIN E.I.R.L</t>
  </si>
  <si>
    <t>227-441862-5-5</t>
  </si>
  <si>
    <t>M441862-5</t>
  </si>
  <si>
    <t>227-441948</t>
  </si>
  <si>
    <t>M441948</t>
  </si>
  <si>
    <t>227-441864-6</t>
  </si>
  <si>
    <t>M441864-6</t>
  </si>
  <si>
    <t>227-441856-3-3</t>
  </si>
  <si>
    <t>M441856-3</t>
  </si>
  <si>
    <t>227-441856-9-9</t>
  </si>
  <si>
    <t>M441856-9</t>
  </si>
  <si>
    <t>227-441872-8</t>
  </si>
  <si>
    <t>M441872-8</t>
  </si>
  <si>
    <t>F090</t>
  </si>
  <si>
    <t>227-441909-2-2</t>
  </si>
  <si>
    <t>M441909-2</t>
  </si>
  <si>
    <t>08/04/2024</t>
  </si>
  <si>
    <t>227-441902-16-16</t>
  </si>
  <si>
    <t>M441902-16</t>
  </si>
  <si>
    <t>ESLACHIN ZEGOVIA ANTONY DENIZ</t>
  </si>
  <si>
    <t>227-441883</t>
  </si>
  <si>
    <t>M441883</t>
  </si>
  <si>
    <t>227-441908-7-7</t>
  </si>
  <si>
    <t>M441908-7</t>
  </si>
  <si>
    <t>227-441866-5-5</t>
  </si>
  <si>
    <t>M441866-5</t>
  </si>
  <si>
    <t>227-441895</t>
  </si>
  <si>
    <t>M441895</t>
  </si>
  <si>
    <t>227-441918</t>
  </si>
  <si>
    <t>M441918</t>
  </si>
  <si>
    <t>227-441920</t>
  </si>
  <si>
    <t>M441920</t>
  </si>
  <si>
    <t>227-441902-11-11</t>
  </si>
  <si>
    <t>M441902-11</t>
  </si>
  <si>
    <t>20613048678</t>
  </si>
  <si>
    <t>NUVA PIZZAMIA IQUITOS S.A.C.</t>
  </si>
  <si>
    <t>227-441940</t>
  </si>
  <si>
    <t>M441940</t>
  </si>
  <si>
    <t>227-441942</t>
  </si>
  <si>
    <t>M441942</t>
  </si>
  <si>
    <t>227-441946</t>
  </si>
  <si>
    <t>M441946</t>
  </si>
  <si>
    <t>227-441894-7-7</t>
  </si>
  <si>
    <t>M441894-7</t>
  </si>
  <si>
    <t>227-441905-2-2</t>
  </si>
  <si>
    <t>M441905-2</t>
  </si>
  <si>
    <t>227-441852-7-7</t>
  </si>
  <si>
    <t>M441852-7</t>
  </si>
  <si>
    <t>F2Y1</t>
  </si>
  <si>
    <t>20606109343</t>
  </si>
  <si>
    <t>SOLANA COMERCIAL S.A.C.</t>
  </si>
  <si>
    <t>227-441856-7-7</t>
  </si>
  <si>
    <t>M441856-7</t>
  </si>
  <si>
    <t>227-441905-10-10</t>
  </si>
  <si>
    <t>M441905-10</t>
  </si>
  <si>
    <t>227-441905-7-7</t>
  </si>
  <si>
    <t>M441905-7</t>
  </si>
  <si>
    <t>227-441893</t>
  </si>
  <si>
    <t>M441893</t>
  </si>
  <si>
    <t>227-441854-9</t>
  </si>
  <si>
    <t>M441854-9</t>
  </si>
  <si>
    <t>227-441902-2-2</t>
  </si>
  <si>
    <t>M441902-2</t>
  </si>
  <si>
    <t>20610299491</t>
  </si>
  <si>
    <t>GRUPO PAREDES &amp; VARGAS S.A.C.</t>
  </si>
  <si>
    <t>227-441888</t>
  </si>
  <si>
    <t>M441888</t>
  </si>
  <si>
    <t>20557171178</t>
  </si>
  <si>
    <t>INVERSIONES LAMBORE S.A.C.</t>
  </si>
  <si>
    <t>227-441854-4-4</t>
  </si>
  <si>
    <t>M441854-4</t>
  </si>
  <si>
    <t>20601247870</t>
  </si>
  <si>
    <t>SUPER CHAO E.I.R.L.</t>
  </si>
  <si>
    <t>227-441874</t>
  </si>
  <si>
    <t>M441874</t>
  </si>
  <si>
    <t>227-441881</t>
  </si>
  <si>
    <t>M441881</t>
  </si>
  <si>
    <t>227-441872-10</t>
  </si>
  <si>
    <t>M441872-10</t>
  </si>
  <si>
    <t>227-441913</t>
  </si>
  <si>
    <t>M441913</t>
  </si>
  <si>
    <t>227-441937</t>
  </si>
  <si>
    <t>M441937</t>
  </si>
  <si>
    <t>227-441941</t>
  </si>
  <si>
    <t>M441941</t>
  </si>
  <si>
    <t>227-441891</t>
  </si>
  <si>
    <t>M441891</t>
  </si>
  <si>
    <t>10294455324</t>
  </si>
  <si>
    <t>VELA VELASQUEZ RULBI JUANA</t>
  </si>
  <si>
    <t>227-441905-4-4</t>
  </si>
  <si>
    <t>M441905-4</t>
  </si>
  <si>
    <t>227-441899-13-13</t>
  </si>
  <si>
    <t>M441899-13</t>
  </si>
  <si>
    <t>20606853620</t>
  </si>
  <si>
    <t>VILELA ING. CONTRATISTAS GENERALES S.A.C</t>
  </si>
  <si>
    <t>227-441905-8-8</t>
  </si>
  <si>
    <t>M441905-8</t>
  </si>
  <si>
    <t>20393328925</t>
  </si>
  <si>
    <t xml:space="preserve"> HOSTAL SUCRE S.R.L.</t>
  </si>
  <si>
    <t>227-441860-2</t>
  </si>
  <si>
    <t>M441860-2</t>
  </si>
  <si>
    <t>20511414408</t>
  </si>
  <si>
    <t>INVERSIONES DT 1 S.A.C.</t>
  </si>
  <si>
    <t>227-441855-13</t>
  </si>
  <si>
    <t>M441855-13</t>
  </si>
  <si>
    <t>227-441855-1-1</t>
  </si>
  <si>
    <t>M441855-1</t>
  </si>
  <si>
    <t>23/03/2025</t>
  </si>
  <si>
    <t>20607796590</t>
  </si>
  <si>
    <t>RESTAURANTE POLLERIA BRASAMAR SOCIEDAD ANONIMA CERRADA</t>
  </si>
  <si>
    <t>227-441856-15-15</t>
  </si>
  <si>
    <t>M441856-15</t>
  </si>
  <si>
    <t>227-441863-7</t>
  </si>
  <si>
    <t>M441863-7</t>
  </si>
  <si>
    <t>227-441863-9</t>
  </si>
  <si>
    <t>M441863-9</t>
  </si>
  <si>
    <t>227-441887</t>
  </si>
  <si>
    <t>M441887</t>
  </si>
  <si>
    <t>227-441953</t>
  </si>
  <si>
    <t>M441953</t>
  </si>
  <si>
    <t>227-441931</t>
  </si>
  <si>
    <t>M441931</t>
  </si>
  <si>
    <t>227-441943</t>
  </si>
  <si>
    <t>M441943</t>
  </si>
  <si>
    <t xml:space="preserve">150-2500089-000                         </t>
  </si>
  <si>
    <t>M1500001</t>
  </si>
  <si>
    <t xml:space="preserve">20501842771    </t>
  </si>
  <si>
    <t xml:space="preserve">LA FIDUCIARIA S.A.                                          </t>
  </si>
  <si>
    <t xml:space="preserve">0                   </t>
  </si>
  <si>
    <t xml:space="preserve">150-2500092-000                         </t>
  </si>
  <si>
    <t>M1500012</t>
  </si>
  <si>
    <t xml:space="preserve">20432405525    </t>
  </si>
  <si>
    <t xml:space="preserve">PROCESOS DE MEDIOS DE PAGO S.A.                             </t>
  </si>
  <si>
    <t xml:space="preserve">150-2500103-000                         </t>
  </si>
  <si>
    <t>M1500013</t>
  </si>
  <si>
    <t xml:space="preserve">20341198217    </t>
  </si>
  <si>
    <t xml:space="preserve">COMPANIA PERUANA DE MEDIOS DE PAGO                          </t>
  </si>
  <si>
    <t xml:space="preserve">150-2500097-000                         </t>
  </si>
  <si>
    <t>M1500014</t>
  </si>
  <si>
    <t xml:space="preserve">150-2500098-000                         </t>
  </si>
  <si>
    <t>M1500015</t>
  </si>
  <si>
    <t xml:space="preserve">150-2500095-000                         </t>
  </si>
  <si>
    <t>M1500016</t>
  </si>
  <si>
    <t xml:space="preserve">150-2500096-000                         </t>
  </si>
  <si>
    <t>M1500017</t>
  </si>
  <si>
    <t xml:space="preserve">150-2500099-000                         </t>
  </si>
  <si>
    <t>M1500018</t>
  </si>
  <si>
    <t xml:space="preserve">150-2500101-000                         </t>
  </si>
  <si>
    <t>M1500019</t>
  </si>
  <si>
    <t xml:space="preserve">150-2500100-000                         </t>
  </si>
  <si>
    <t>M1500020</t>
  </si>
  <si>
    <t xml:space="preserve">150-2500102-000                         </t>
  </si>
  <si>
    <t>M1500021</t>
  </si>
  <si>
    <t xml:space="preserve">150-2500093-000                         </t>
  </si>
  <si>
    <t>M1500022</t>
  </si>
  <si>
    <t xml:space="preserve">150-2500094-000                         </t>
  </si>
  <si>
    <t>M1500023</t>
  </si>
  <si>
    <t xml:space="preserve">150-2500090-000                         </t>
  </si>
  <si>
    <t>M1500024</t>
  </si>
  <si>
    <t xml:space="preserve">20467737300    </t>
  </si>
  <si>
    <t xml:space="preserve">CIA DE SERVICIOS CONEXOS EXPRESSNET                         </t>
  </si>
  <si>
    <t xml:space="preserve">150-2500091-000                         </t>
  </si>
  <si>
    <t>M1500025</t>
  </si>
  <si>
    <t xml:space="preserve">FD01                </t>
  </si>
  <si>
    <t xml:space="preserve">FNC1                </t>
  </si>
  <si>
    <t xml:space="preserve">F001                </t>
  </si>
  <si>
    <t xml:space="preserve">F003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</si>
</sst>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</cellStyleXfs>
  <cellXfs count="3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right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/>
    <xf numFmtId="49" fontId="6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right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right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right" vertical="center" wrapText="1"/>
    </xf>
    <xf numFmtId="4" fontId="9" fillId="3" borderId="1" xfId="0" applyNumberFormat="1" applyFont="1" applyFill="1" applyBorder="1" applyAlignment="1">
      <alignment vertical="center" wrapText="1"/>
    </xf>
    <xf numFmtId="49" fontId="3" fillId="2" borderId="2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43" fontId="2" fillId="0" borderId="0" xfId="1" applyFont="1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0" fontId="0" fillId="0" borderId="0" xfId="0" applyFill="1"/>
    <xf numFmtId="49" fontId="0" fillId="0" borderId="0" xfId="0" quotePrefix="1" applyNumberFormat="1" applyFill="1"/>
    <xf numFmtId="49" fontId="0" fillId="0" borderId="0" xfId="0" applyNumberFormat="1" applyFill="1"/>
    <xf numFmtId="0" fontId="0" fillId="0" borderId="0" xfId="0" quotePrefix="1" applyFill="1"/>
    <xf numFmtId="0" fontId="0" fillId="4" borderId="0" xfId="0" applyFill="1"/>
  </cellXfs>
  <cellStyles count="5">
    <cellStyle name="Millares" xfId="1" builtinId="3"/>
    <cellStyle name="Normal" xfId="0" builtinId="0"/>
    <cellStyle name="Normal 10" xfId="3" xr:uid="{00000000-0005-0000-0000-000002000000}"/>
    <cellStyle name="Normal 2" xfId="2" xr:uid="{00000000-0005-0000-0000-000003000000}"/>
    <cellStyle name="Normal 8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E2010003059520250500080100001111-3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S138"/>
  <sheetViews>
    <sheetView tabSelected="1" topLeftCell="H128" zoomScaleNormal="100" workbookViewId="0">
      <selection activeCell="N140" sqref="N140"/>
    </sheetView>
  </sheetViews>
  <sheetFormatPr baseColWidth="10" defaultRowHeight="15" x14ac:dyDescent="0.25"/>
  <cols>
    <col min="2" max="2" width="9" customWidth="1"/>
    <col min="3" max="3" width="17.28515625" customWidth="1"/>
    <col min="5" max="6" width="10.7109375" customWidth="1"/>
    <col min="7" max="7" width="3.42578125" customWidth="1"/>
    <col min="8" max="8" width="6.42578125" customWidth="1"/>
    <col min="9" max="9" width="2.7109375" customWidth="1"/>
    <col min="10" max="10" width="13.42578125" customWidth="1"/>
    <col min="11" max="11" width="9.5703125" customWidth="1"/>
    <col min="12" max="12" width="2" customWidth="1"/>
    <col min="13" max="13" width="13.7109375" bestFit="1" customWidth="1"/>
    <col min="14" max="14" width="46.85546875" customWidth="1"/>
    <col min="15" max="16" width="2" customWidth="1"/>
    <col min="17" max="17" width="13.85546875" customWidth="1"/>
    <col min="18" max="18" width="13.7109375" customWidth="1"/>
    <col min="19" max="19" width="6.5703125" customWidth="1"/>
    <col min="20" max="20" width="7.42578125" customWidth="1"/>
    <col min="21" max="21" width="11.28515625" customWidth="1"/>
    <col min="22" max="22" width="7.42578125" customWidth="1"/>
    <col min="23" max="23" width="8.7109375" customWidth="1"/>
    <col min="24" max="25" width="15.28515625" customWidth="1"/>
    <col min="26" max="26" width="15.42578125" customWidth="1"/>
    <col min="27" max="27" width="30" customWidth="1"/>
    <col min="28" max="28" width="17.5703125" customWidth="1"/>
    <col min="29" max="29" width="4.140625" customWidth="1"/>
    <col min="30" max="30" width="5.5703125" customWidth="1"/>
    <col min="31" max="31" width="2.85546875" customWidth="1"/>
    <col min="32" max="32" width="10.7109375" customWidth="1"/>
    <col min="33" max="33" width="12.140625" customWidth="1"/>
    <col min="34" max="34" width="24" customWidth="1"/>
    <col min="35" max="35" width="4" customWidth="1"/>
    <col min="36" max="36" width="3" customWidth="1"/>
    <col min="37" max="41" width="1.42578125" customWidth="1"/>
    <col min="42" max="42" width="2" customWidth="1"/>
    <col min="43" max="43" width="4.14062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7</v>
      </c>
      <c r="I1" s="1"/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14</v>
      </c>
      <c r="R1" s="3" t="s">
        <v>15</v>
      </c>
      <c r="S1" s="1" t="s">
        <v>16</v>
      </c>
      <c r="T1" s="1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1" t="s">
        <v>22</v>
      </c>
      <c r="Z1" s="4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4" t="s">
        <v>40</v>
      </c>
      <c r="AR1" s="1"/>
      <c r="AS1" s="5"/>
    </row>
    <row r="2" spans="1:45" ht="22.5" customHeight="1" x14ac:dyDescent="0.25">
      <c r="A2" s="6" t="s">
        <v>41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  <c r="G2" s="6" t="s">
        <v>47</v>
      </c>
      <c r="H2" s="6" t="s">
        <v>48</v>
      </c>
      <c r="I2" s="6" t="s">
        <v>49</v>
      </c>
      <c r="J2" s="7" t="s">
        <v>50</v>
      </c>
      <c r="K2" s="6" t="s">
        <v>51</v>
      </c>
      <c r="L2" s="6" t="s">
        <v>52</v>
      </c>
      <c r="M2" s="6" t="s">
        <v>53</v>
      </c>
      <c r="N2" s="6" t="s">
        <v>54</v>
      </c>
      <c r="O2" s="6" t="s">
        <v>55</v>
      </c>
      <c r="P2" s="6" t="s">
        <v>56</v>
      </c>
      <c r="Q2" s="8" t="s">
        <v>57</v>
      </c>
      <c r="R2" s="8" t="s">
        <v>56</v>
      </c>
      <c r="S2" s="6" t="s">
        <v>58</v>
      </c>
      <c r="T2" s="6" t="s">
        <v>56</v>
      </c>
      <c r="U2" s="8" t="s">
        <v>59</v>
      </c>
      <c r="V2" s="8" t="s">
        <v>60</v>
      </c>
      <c r="W2" s="6" t="s">
        <v>61</v>
      </c>
      <c r="X2" s="8" t="s">
        <v>62</v>
      </c>
      <c r="Y2" s="8" t="s">
        <v>63</v>
      </c>
      <c r="Z2" s="6" t="s">
        <v>64</v>
      </c>
      <c r="AA2" s="6" t="s">
        <v>65</v>
      </c>
      <c r="AB2" s="6" t="s">
        <v>66</v>
      </c>
      <c r="AC2" s="6" t="s">
        <v>67</v>
      </c>
      <c r="AD2" s="6" t="s">
        <v>68</v>
      </c>
      <c r="AE2" s="6" t="s">
        <v>69</v>
      </c>
      <c r="AF2" s="6" t="s">
        <v>70</v>
      </c>
      <c r="AG2" s="6" t="s">
        <v>71</v>
      </c>
      <c r="AH2" s="6" t="s">
        <v>72</v>
      </c>
      <c r="AI2" s="6" t="s">
        <v>73</v>
      </c>
      <c r="AJ2" s="6" t="s">
        <v>74</v>
      </c>
      <c r="AK2" s="6" t="s">
        <v>75</v>
      </c>
      <c r="AL2" s="6" t="s">
        <v>76</v>
      </c>
      <c r="AM2" s="6" t="s">
        <v>77</v>
      </c>
      <c r="AN2" s="6" t="s">
        <v>78</v>
      </c>
      <c r="AO2" s="6" t="s">
        <v>79</v>
      </c>
      <c r="AP2" s="6" t="s">
        <v>80</v>
      </c>
      <c r="AQ2" s="6" t="s">
        <v>81</v>
      </c>
      <c r="AR2" s="6"/>
      <c r="AS2" s="9"/>
    </row>
    <row r="3" spans="1:45" ht="13.5" customHeight="1" x14ac:dyDescent="0.25">
      <c r="A3" s="10" t="s">
        <v>82</v>
      </c>
      <c r="B3" s="11">
        <v>8</v>
      </c>
      <c r="C3" s="11" t="s">
        <v>83</v>
      </c>
      <c r="D3" s="11" t="s">
        <v>84</v>
      </c>
      <c r="E3" s="11">
        <v>10</v>
      </c>
      <c r="F3" s="11">
        <v>10</v>
      </c>
      <c r="G3" s="11">
        <v>2</v>
      </c>
      <c r="H3" s="11" t="s">
        <v>85</v>
      </c>
      <c r="I3" s="11">
        <v>4</v>
      </c>
      <c r="J3" s="12" t="s">
        <v>85</v>
      </c>
      <c r="K3" s="11" t="s">
        <v>85</v>
      </c>
      <c r="L3" s="11">
        <v>1</v>
      </c>
      <c r="M3" s="11" t="s">
        <v>86</v>
      </c>
      <c r="N3" s="11" t="s">
        <v>87</v>
      </c>
      <c r="O3" s="11" t="s">
        <v>88</v>
      </c>
      <c r="P3" s="11" t="s">
        <v>88</v>
      </c>
      <c r="Q3" s="13" t="s">
        <v>88</v>
      </c>
      <c r="R3" s="13" t="s">
        <v>88</v>
      </c>
      <c r="S3" s="11" t="s">
        <v>88</v>
      </c>
      <c r="T3" s="11" t="s">
        <v>88</v>
      </c>
      <c r="U3" s="13" t="s">
        <v>88</v>
      </c>
      <c r="V3" s="13" t="s">
        <v>88</v>
      </c>
      <c r="W3" s="11"/>
      <c r="X3" s="13" t="s">
        <v>88</v>
      </c>
      <c r="Y3" s="13" t="s">
        <v>88</v>
      </c>
      <c r="Z3" s="11">
        <v>3</v>
      </c>
      <c r="AA3" s="11" t="s">
        <v>89</v>
      </c>
      <c r="AB3" s="11">
        <v>10</v>
      </c>
      <c r="AC3" s="11">
        <v>2</v>
      </c>
      <c r="AD3" s="11" t="s">
        <v>85</v>
      </c>
      <c r="AE3" s="11">
        <v>3</v>
      </c>
      <c r="AF3" s="11" t="s">
        <v>85</v>
      </c>
      <c r="AG3" s="11">
        <v>10</v>
      </c>
      <c r="AH3" s="11" t="s">
        <v>90</v>
      </c>
      <c r="AI3" s="11">
        <v>1</v>
      </c>
      <c r="AJ3" s="11" t="s">
        <v>1</v>
      </c>
      <c r="AK3" s="11" t="s">
        <v>10</v>
      </c>
      <c r="AL3" s="11" t="s">
        <v>1</v>
      </c>
      <c r="AM3" s="11" t="s">
        <v>1</v>
      </c>
      <c r="AN3" s="11" t="s">
        <v>1</v>
      </c>
      <c r="AO3" s="11" t="s">
        <v>1</v>
      </c>
      <c r="AP3" s="11" t="s">
        <v>1</v>
      </c>
      <c r="AQ3" s="11" t="s">
        <v>1</v>
      </c>
      <c r="AR3" s="11"/>
      <c r="AS3" s="9"/>
    </row>
    <row r="4" spans="1:45" ht="28.5" x14ac:dyDescent="0.25">
      <c r="A4" s="10" t="s">
        <v>91</v>
      </c>
      <c r="B4" s="11" t="s">
        <v>92</v>
      </c>
      <c r="C4" s="11" t="s">
        <v>92</v>
      </c>
      <c r="D4" s="11" t="s">
        <v>92</v>
      </c>
      <c r="E4" s="11" t="s">
        <v>92</v>
      </c>
      <c r="F4" s="11" t="s">
        <v>93</v>
      </c>
      <c r="G4" s="11" t="s">
        <v>92</v>
      </c>
      <c r="H4" s="11" t="s">
        <v>93</v>
      </c>
      <c r="I4" s="11" t="s">
        <v>93</v>
      </c>
      <c r="J4" s="12" t="s">
        <v>92</v>
      </c>
      <c r="K4" s="11" t="s">
        <v>93</v>
      </c>
      <c r="L4" s="11" t="s">
        <v>93</v>
      </c>
      <c r="M4" s="11" t="s">
        <v>93</v>
      </c>
      <c r="N4" s="11" t="s">
        <v>93</v>
      </c>
      <c r="O4" s="11" t="s">
        <v>93</v>
      </c>
      <c r="P4" s="11" t="s">
        <v>93</v>
      </c>
      <c r="Q4" s="13" t="s">
        <v>93</v>
      </c>
      <c r="R4" s="13" t="s">
        <v>93</v>
      </c>
      <c r="S4" s="11" t="s">
        <v>93</v>
      </c>
      <c r="T4" s="11" t="s">
        <v>93</v>
      </c>
      <c r="U4" s="13" t="s">
        <v>93</v>
      </c>
      <c r="V4" s="13" t="s">
        <v>93</v>
      </c>
      <c r="W4" s="11"/>
      <c r="X4" s="13" t="s">
        <v>93</v>
      </c>
      <c r="Y4" s="13" t="s">
        <v>92</v>
      </c>
      <c r="Z4" s="11" t="s">
        <v>93</v>
      </c>
      <c r="AA4" s="11" t="s">
        <v>93</v>
      </c>
      <c r="AB4" s="11" t="s">
        <v>93</v>
      </c>
      <c r="AC4" s="11" t="s">
        <v>93</v>
      </c>
      <c r="AD4" s="11" t="s">
        <v>93</v>
      </c>
      <c r="AE4" s="11" t="s">
        <v>93</v>
      </c>
      <c r="AF4" s="11" t="s">
        <v>93</v>
      </c>
      <c r="AG4" s="11" t="s">
        <v>93</v>
      </c>
      <c r="AH4" s="11" t="s">
        <v>93</v>
      </c>
      <c r="AI4" s="11" t="s">
        <v>93</v>
      </c>
      <c r="AJ4" s="11" t="s">
        <v>93</v>
      </c>
      <c r="AK4" s="11" t="s">
        <v>93</v>
      </c>
      <c r="AL4" s="11" t="s">
        <v>93</v>
      </c>
      <c r="AM4" s="11" t="s">
        <v>93</v>
      </c>
      <c r="AN4" s="11" t="s">
        <v>93</v>
      </c>
      <c r="AO4" s="11" t="s">
        <v>93</v>
      </c>
      <c r="AP4" s="11" t="s">
        <v>93</v>
      </c>
      <c r="AQ4" s="11" t="s">
        <v>92</v>
      </c>
      <c r="AR4" s="11"/>
      <c r="AS4" s="9"/>
    </row>
    <row r="5" spans="1:45" ht="40.5" customHeight="1" x14ac:dyDescent="0.25">
      <c r="A5" s="10" t="s">
        <v>94</v>
      </c>
      <c r="B5" s="14" t="s">
        <v>95</v>
      </c>
      <c r="C5" s="14" t="s">
        <v>96</v>
      </c>
      <c r="D5" s="14" t="s">
        <v>97</v>
      </c>
      <c r="E5" s="14" t="s">
        <v>98</v>
      </c>
      <c r="F5" s="14" t="s">
        <v>98</v>
      </c>
      <c r="G5" s="14" t="s">
        <v>95</v>
      </c>
      <c r="H5" s="14" t="s">
        <v>97</v>
      </c>
      <c r="I5" s="14" t="s">
        <v>95</v>
      </c>
      <c r="J5" s="15" t="s">
        <v>97</v>
      </c>
      <c r="K5" s="14" t="s">
        <v>95</v>
      </c>
      <c r="L5" s="16" t="s">
        <v>97</v>
      </c>
      <c r="M5" s="14" t="s">
        <v>97</v>
      </c>
      <c r="N5" s="14" t="s">
        <v>96</v>
      </c>
      <c r="O5" s="14" t="s">
        <v>95</v>
      </c>
      <c r="P5" s="14" t="s">
        <v>95</v>
      </c>
      <c r="Q5" s="17" t="s">
        <v>95</v>
      </c>
      <c r="R5" s="17" t="s">
        <v>95</v>
      </c>
      <c r="S5" s="14" t="s">
        <v>95</v>
      </c>
      <c r="T5" s="14" t="s">
        <v>95</v>
      </c>
      <c r="U5" s="17" t="s">
        <v>95</v>
      </c>
      <c r="V5" s="17" t="s">
        <v>95</v>
      </c>
      <c r="W5" s="14"/>
      <c r="X5" s="17" t="s">
        <v>95</v>
      </c>
      <c r="Y5" s="17" t="s">
        <v>95</v>
      </c>
      <c r="Z5" s="16" t="s">
        <v>99</v>
      </c>
      <c r="AA5" s="14" t="s">
        <v>95</v>
      </c>
      <c r="AB5" s="14" t="s">
        <v>98</v>
      </c>
      <c r="AC5" s="14" t="s">
        <v>95</v>
      </c>
      <c r="AD5" s="14" t="s">
        <v>97</v>
      </c>
      <c r="AE5" s="14" t="s">
        <v>97</v>
      </c>
      <c r="AF5" s="14" t="s">
        <v>97</v>
      </c>
      <c r="AG5" s="14" t="s">
        <v>98</v>
      </c>
      <c r="AH5" s="14" t="s">
        <v>97</v>
      </c>
      <c r="AI5" s="14" t="s">
        <v>95</v>
      </c>
      <c r="AJ5" s="14" t="s">
        <v>95</v>
      </c>
      <c r="AK5" s="14" t="s">
        <v>96</v>
      </c>
      <c r="AL5" s="14" t="s">
        <v>95</v>
      </c>
      <c r="AM5" s="14" t="s">
        <v>95</v>
      </c>
      <c r="AN5" s="14" t="s">
        <v>95</v>
      </c>
      <c r="AO5" s="14" t="s">
        <v>95</v>
      </c>
      <c r="AP5" s="14" t="s">
        <v>95</v>
      </c>
      <c r="AQ5" s="14" t="s">
        <v>95</v>
      </c>
      <c r="AR5" s="14"/>
      <c r="AS5" s="9"/>
    </row>
    <row r="6" spans="1:45" ht="24" customHeight="1" x14ac:dyDescent="0.25">
      <c r="A6" s="18" t="s">
        <v>100</v>
      </c>
      <c r="B6" s="19" t="s">
        <v>101</v>
      </c>
      <c r="C6" s="19" t="s">
        <v>102</v>
      </c>
      <c r="D6" s="19" t="s">
        <v>103</v>
      </c>
      <c r="E6" s="19" t="s">
        <v>104</v>
      </c>
      <c r="F6" s="19" t="s">
        <v>105</v>
      </c>
      <c r="G6" s="19" t="s">
        <v>106</v>
      </c>
      <c r="H6" s="20" t="s">
        <v>107</v>
      </c>
      <c r="I6" s="20" t="s">
        <v>108</v>
      </c>
      <c r="J6" s="21" t="s">
        <v>109</v>
      </c>
      <c r="K6" s="19" t="s">
        <v>110</v>
      </c>
      <c r="L6" s="19" t="s">
        <v>111</v>
      </c>
      <c r="M6" s="19" t="s">
        <v>112</v>
      </c>
      <c r="N6" s="19" t="s">
        <v>113</v>
      </c>
      <c r="O6" s="19" t="s">
        <v>114</v>
      </c>
      <c r="P6" s="19" t="s">
        <v>115</v>
      </c>
      <c r="Q6" s="22" t="s">
        <v>114</v>
      </c>
      <c r="R6" s="22" t="s">
        <v>116</v>
      </c>
      <c r="S6" s="19" t="s">
        <v>114</v>
      </c>
      <c r="T6" s="19" t="s">
        <v>117</v>
      </c>
      <c r="U6" s="22" t="s">
        <v>114</v>
      </c>
      <c r="V6" s="22" t="s">
        <v>114</v>
      </c>
      <c r="W6" s="19"/>
      <c r="X6" s="22" t="s">
        <v>114</v>
      </c>
      <c r="Y6" s="22" t="s">
        <v>114</v>
      </c>
      <c r="Z6" s="19" t="s">
        <v>118</v>
      </c>
      <c r="AA6" s="19" t="s">
        <v>119</v>
      </c>
      <c r="AB6" s="19" t="s">
        <v>120</v>
      </c>
      <c r="AC6" s="19" t="s">
        <v>121</v>
      </c>
      <c r="AD6" s="19" t="s">
        <v>122</v>
      </c>
      <c r="AE6" s="19" t="s">
        <v>123</v>
      </c>
      <c r="AF6" s="20" t="s">
        <v>124</v>
      </c>
      <c r="AG6" s="20" t="s">
        <v>125</v>
      </c>
      <c r="AH6" s="20" t="s">
        <v>126</v>
      </c>
      <c r="AI6" s="20" t="s">
        <v>127</v>
      </c>
      <c r="AJ6" s="20" t="s">
        <v>128</v>
      </c>
      <c r="AK6" s="20" t="s">
        <v>129</v>
      </c>
      <c r="AL6" s="20" t="s">
        <v>130</v>
      </c>
      <c r="AM6" s="20" t="s">
        <v>131</v>
      </c>
      <c r="AN6" s="20" t="s">
        <v>132</v>
      </c>
      <c r="AO6" s="20" t="s">
        <v>133</v>
      </c>
      <c r="AP6" s="20" t="s">
        <v>134</v>
      </c>
      <c r="AQ6" s="20" t="s">
        <v>135</v>
      </c>
      <c r="AR6" s="20"/>
      <c r="AS6" s="9"/>
    </row>
    <row r="7" spans="1:45" ht="14.25" customHeight="1" x14ac:dyDescent="0.25">
      <c r="A7" s="4"/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136</v>
      </c>
      <c r="I7" s="4" t="s">
        <v>137</v>
      </c>
      <c r="J7" s="23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24" t="s">
        <v>14</v>
      </c>
      <c r="R7" s="24" t="s">
        <v>15</v>
      </c>
      <c r="S7" s="4" t="s">
        <v>16</v>
      </c>
      <c r="T7" s="4" t="s">
        <v>17</v>
      </c>
      <c r="U7" s="24" t="s">
        <v>18</v>
      </c>
      <c r="V7" s="24" t="s">
        <v>19</v>
      </c>
      <c r="W7" s="4">
        <v>22</v>
      </c>
      <c r="X7" s="25">
        <v>23</v>
      </c>
      <c r="Y7" s="25">
        <v>24</v>
      </c>
      <c r="Z7" s="4" t="s">
        <v>23</v>
      </c>
      <c r="AA7" s="4" t="s">
        <v>24</v>
      </c>
      <c r="AB7" s="4" t="s">
        <v>25</v>
      </c>
      <c r="AC7" s="4" t="s">
        <v>26</v>
      </c>
      <c r="AD7" s="4" t="s">
        <v>27</v>
      </c>
      <c r="AE7" s="4" t="s">
        <v>28</v>
      </c>
      <c r="AF7" s="4" t="s">
        <v>29</v>
      </c>
      <c r="AG7" s="4" t="s">
        <v>30</v>
      </c>
      <c r="AH7" s="4" t="s">
        <v>31</v>
      </c>
      <c r="AI7" s="4" t="s">
        <v>32</v>
      </c>
      <c r="AJ7" s="4" t="s">
        <v>33</v>
      </c>
      <c r="AK7" s="4" t="s">
        <v>34</v>
      </c>
      <c r="AL7" s="4" t="s">
        <v>35</v>
      </c>
      <c r="AM7" s="4" t="s">
        <v>36</v>
      </c>
      <c r="AN7" s="4" t="s">
        <v>37</v>
      </c>
      <c r="AO7" s="4" t="s">
        <v>38</v>
      </c>
      <c r="AP7" s="4" t="s">
        <v>39</v>
      </c>
      <c r="AQ7" s="4" t="s">
        <v>40</v>
      </c>
      <c r="AR7" s="4" t="s">
        <v>138</v>
      </c>
      <c r="AS7" s="26"/>
    </row>
    <row r="8" spans="1:45" ht="15" customHeight="1" x14ac:dyDescent="0.25">
      <c r="A8">
        <v>1</v>
      </c>
      <c r="B8">
        <v>20250500</v>
      </c>
      <c r="C8" t="s">
        <v>558</v>
      </c>
      <c r="D8" t="s">
        <v>559</v>
      </c>
      <c r="E8" s="29" t="s">
        <v>177</v>
      </c>
      <c r="F8" s="29" t="s">
        <v>139</v>
      </c>
      <c r="G8" s="29" t="s">
        <v>147</v>
      </c>
      <c r="H8" s="29" t="s">
        <v>599</v>
      </c>
      <c r="I8">
        <v>0</v>
      </c>
      <c r="J8">
        <v>61697</v>
      </c>
      <c r="K8" t="s">
        <v>140</v>
      </c>
      <c r="L8">
        <v>6</v>
      </c>
      <c r="M8" s="29" t="s">
        <v>560</v>
      </c>
      <c r="N8" t="s">
        <v>561</v>
      </c>
      <c r="O8">
        <v>0</v>
      </c>
      <c r="P8">
        <v>0</v>
      </c>
      <c r="Q8">
        <v>2128.6</v>
      </c>
      <c r="R8">
        <v>383.15</v>
      </c>
      <c r="S8">
        <v>0</v>
      </c>
      <c r="T8">
        <v>0</v>
      </c>
      <c r="U8">
        <v>0</v>
      </c>
      <c r="V8">
        <v>0</v>
      </c>
      <c r="W8" s="28" t="s">
        <v>155</v>
      </c>
      <c r="X8">
        <v>0</v>
      </c>
      <c r="Y8">
        <v>2511.75</v>
      </c>
      <c r="Z8" t="s">
        <v>156</v>
      </c>
      <c r="AB8" s="29" t="s">
        <v>142</v>
      </c>
      <c r="AC8" s="29"/>
      <c r="AD8" t="s">
        <v>143</v>
      </c>
      <c r="AE8" t="s">
        <v>141</v>
      </c>
      <c r="AF8" t="s">
        <v>143</v>
      </c>
      <c r="AG8" s="29" t="s">
        <v>142</v>
      </c>
      <c r="AH8" s="29" t="s">
        <v>562</v>
      </c>
      <c r="AI8" t="s">
        <v>144</v>
      </c>
      <c r="AJ8" t="s">
        <v>144</v>
      </c>
      <c r="AK8" t="s">
        <v>145</v>
      </c>
      <c r="AL8" t="s">
        <v>144</v>
      </c>
      <c r="AM8" t="s">
        <v>144</v>
      </c>
      <c r="AN8" t="s">
        <v>144</v>
      </c>
      <c r="AO8" t="s">
        <v>144</v>
      </c>
      <c r="AP8" t="s">
        <v>144</v>
      </c>
      <c r="AQ8">
        <v>1</v>
      </c>
      <c r="AS8" t="str">
        <f>+CONCATENATE(B8,"|",C8,"|",D8,"|",E8,"|",F8,"|", G8,"|",H8,"|",I8,"|",J8,"|",K8,"|",L8,"|",M8,"|",N8,"|",O8,"|",P8,"|",Q8,"|",R8,"|",S8,"|",T8,"|", U8,"|",V8,"|",W8,"|",X8,"|",Y8,"|",Z8,"|",AA8,"|",AB8,"|", AC8,"|",AD8,"|",AE8,"|",AF8,"|",AG8,"|",AH8,"|", AI8,"|",AJ8,"|",AK8,"|",AL8,"|",AM8,"|",AN8,"|",AO8,"|",AP8,"|",AQ8,"|")</f>
        <v>20250500|150-2500089-000                         |M1500001|02/05/2025|          |01|F001                |0|61697|                    |6|20501842771    |LA FIDUCIARIA S.A.                                          |0|0|2128.6|383.15|0|0|0|0|0.00|0|2511.75|PEN||01/01/0001||-                   |   |-                   |01/01/0001|0                   | | |            | | | | | |1|</v>
      </c>
    </row>
    <row r="9" spans="1:45" ht="15" customHeight="1" x14ac:dyDescent="0.25">
      <c r="A9">
        <v>2</v>
      </c>
      <c r="B9">
        <v>20250500</v>
      </c>
      <c r="C9" t="s">
        <v>591</v>
      </c>
      <c r="D9" t="s">
        <v>592</v>
      </c>
      <c r="E9" s="29" t="s">
        <v>180</v>
      </c>
      <c r="F9" s="29" t="s">
        <v>139</v>
      </c>
      <c r="G9" s="30" t="s">
        <v>28</v>
      </c>
      <c r="H9" s="29" t="s">
        <v>599</v>
      </c>
      <c r="I9">
        <v>0</v>
      </c>
      <c r="J9">
        <v>2118975</v>
      </c>
      <c r="K9" t="s">
        <v>140</v>
      </c>
      <c r="L9">
        <v>6</v>
      </c>
      <c r="M9" s="29" t="s">
        <v>593</v>
      </c>
      <c r="N9" t="s">
        <v>594</v>
      </c>
      <c r="O9">
        <v>0</v>
      </c>
      <c r="P9">
        <v>0</v>
      </c>
      <c r="Q9">
        <v>53.74</v>
      </c>
      <c r="R9">
        <v>9.8000000000000007</v>
      </c>
      <c r="S9">
        <v>0</v>
      </c>
      <c r="T9">
        <v>0</v>
      </c>
      <c r="U9">
        <v>0</v>
      </c>
      <c r="V9">
        <v>0</v>
      </c>
      <c r="W9" s="28" t="s">
        <v>155</v>
      </c>
      <c r="X9">
        <v>97.7</v>
      </c>
      <c r="Y9">
        <v>161.24</v>
      </c>
      <c r="Z9" t="s">
        <v>156</v>
      </c>
      <c r="AB9" s="29" t="s">
        <v>142</v>
      </c>
      <c r="AC9" s="29"/>
      <c r="AD9" t="s">
        <v>143</v>
      </c>
      <c r="AE9" t="s">
        <v>141</v>
      </c>
      <c r="AF9" t="s">
        <v>143</v>
      </c>
      <c r="AG9" s="29" t="s">
        <v>142</v>
      </c>
      <c r="AH9" s="29" t="s">
        <v>562</v>
      </c>
      <c r="AI9" t="s">
        <v>144</v>
      </c>
      <c r="AJ9" t="s">
        <v>144</v>
      </c>
      <c r="AK9" t="s">
        <v>145</v>
      </c>
      <c r="AL9" t="s">
        <v>144</v>
      </c>
      <c r="AM9" t="s">
        <v>144</v>
      </c>
      <c r="AN9" t="s">
        <v>144</v>
      </c>
      <c r="AO9" t="s">
        <v>144</v>
      </c>
      <c r="AP9" t="s">
        <v>144</v>
      </c>
      <c r="AQ9">
        <v>1</v>
      </c>
      <c r="AS9" t="str">
        <f t="shared" ref="AS9:AS72" si="0">+CONCATENATE(B9,"|",C9,"|",D9,"|",E9,"|",F9,"|", G9,"|",H9,"|",I9,"|",J9,"|",K9,"|",L9,"|",M9,"|",N9,"|",O9,"|",P9,"|",Q9,"|",R9,"|",S9,"|",T9,"|", U9,"|",V9,"|",W9,"|",X9,"|",Y9,"|",Z9,"|",AA9,"|",AB9,"|", AC9,"|",AD9,"|",AE9,"|",AF9,"|",AG9,"|",AH9,"|", AI9,"|",AJ9,"|",AK9,"|",AL9,"|",AM9,"|",AN9,"|",AO9,"|",AP9,"|",AQ9,"|")</f>
        <v>20250500|150-2500090-000                         |M1500024|31/05/2025|          |30|F001                |0|2118975|                    |6|20467737300    |CIA DE SERVICIOS CONEXOS EXPRESSNET                         |0|0|53.74|9.8|0|0|0|0|0.00|97.7|161.24|PEN||01/01/0001||-                   |   |-                   |01/01/0001|0                   | | |            | | | | | |1|</v>
      </c>
    </row>
    <row r="10" spans="1:45" ht="15" customHeight="1" x14ac:dyDescent="0.25">
      <c r="A10">
        <v>3</v>
      </c>
      <c r="B10">
        <v>20250500</v>
      </c>
      <c r="C10" t="s">
        <v>595</v>
      </c>
      <c r="D10" t="s">
        <v>596</v>
      </c>
      <c r="E10" s="29" t="s">
        <v>180</v>
      </c>
      <c r="F10" s="29" t="s">
        <v>139</v>
      </c>
      <c r="G10" s="30" t="s">
        <v>28</v>
      </c>
      <c r="H10" s="29" t="s">
        <v>599</v>
      </c>
      <c r="I10">
        <v>0</v>
      </c>
      <c r="J10">
        <v>2118976</v>
      </c>
      <c r="K10" t="s">
        <v>140</v>
      </c>
      <c r="L10">
        <v>6</v>
      </c>
      <c r="M10" s="29" t="s">
        <v>593</v>
      </c>
      <c r="N10" t="s">
        <v>594</v>
      </c>
      <c r="O10">
        <v>0</v>
      </c>
      <c r="P10">
        <v>0</v>
      </c>
      <c r="Q10">
        <v>5323.31</v>
      </c>
      <c r="R10">
        <v>906.34</v>
      </c>
      <c r="S10">
        <v>0</v>
      </c>
      <c r="T10">
        <v>0</v>
      </c>
      <c r="U10">
        <v>0</v>
      </c>
      <c r="V10">
        <v>0</v>
      </c>
      <c r="W10" s="28" t="s">
        <v>155</v>
      </c>
      <c r="X10">
        <v>0</v>
      </c>
      <c r="Y10">
        <v>6229.65</v>
      </c>
      <c r="Z10" t="s">
        <v>156</v>
      </c>
      <c r="AB10" s="29" t="s">
        <v>142</v>
      </c>
      <c r="AC10" s="29"/>
      <c r="AD10" t="s">
        <v>143</v>
      </c>
      <c r="AE10" t="s">
        <v>141</v>
      </c>
      <c r="AF10" t="s">
        <v>143</v>
      </c>
      <c r="AG10" s="29" t="s">
        <v>142</v>
      </c>
      <c r="AH10" s="29" t="s">
        <v>562</v>
      </c>
      <c r="AI10" t="s">
        <v>144</v>
      </c>
      <c r="AJ10" t="s">
        <v>144</v>
      </c>
      <c r="AK10" t="s">
        <v>145</v>
      </c>
      <c r="AL10" t="s">
        <v>144</v>
      </c>
      <c r="AM10" t="s">
        <v>144</v>
      </c>
      <c r="AN10" t="s">
        <v>144</v>
      </c>
      <c r="AO10" t="s">
        <v>144</v>
      </c>
      <c r="AP10" t="s">
        <v>144</v>
      </c>
      <c r="AQ10">
        <v>1</v>
      </c>
      <c r="AS10" t="str">
        <f t="shared" si="0"/>
        <v>20250500|150-2500091-000                         |M1500025|31/05/2025|          |30|F001                |0|2118976|                    |6|20467737300    |CIA DE SERVICIOS CONEXOS EXPRESSNET                         |0|0|5323.31|906.34|0|0|0|0|0.00|0|6229.65|PEN||01/01/0001||-                   |   |-                   |01/01/0001|0                   | | |            | | | | | |1|</v>
      </c>
    </row>
    <row r="11" spans="1:45" ht="15" customHeight="1" x14ac:dyDescent="0.25">
      <c r="A11">
        <v>4</v>
      </c>
      <c r="B11">
        <v>20250500</v>
      </c>
      <c r="C11" t="s">
        <v>563</v>
      </c>
      <c r="D11" t="s">
        <v>564</v>
      </c>
      <c r="E11" s="29" t="s">
        <v>180</v>
      </c>
      <c r="F11" s="29" t="s">
        <v>139</v>
      </c>
      <c r="G11" s="29" t="s">
        <v>147</v>
      </c>
      <c r="H11" s="29" t="s">
        <v>599</v>
      </c>
      <c r="I11">
        <v>0</v>
      </c>
      <c r="J11">
        <v>4815166</v>
      </c>
      <c r="K11" t="s">
        <v>140</v>
      </c>
      <c r="L11">
        <v>6</v>
      </c>
      <c r="M11" s="29" t="s">
        <v>565</v>
      </c>
      <c r="N11" t="s">
        <v>566</v>
      </c>
      <c r="O11">
        <v>0</v>
      </c>
      <c r="P11">
        <v>0</v>
      </c>
      <c r="Q11">
        <v>56.4</v>
      </c>
      <c r="R11">
        <v>10.15</v>
      </c>
      <c r="S11">
        <v>0</v>
      </c>
      <c r="T11">
        <v>0</v>
      </c>
      <c r="U11">
        <v>0</v>
      </c>
      <c r="V11">
        <v>0</v>
      </c>
      <c r="W11" s="28" t="s">
        <v>155</v>
      </c>
      <c r="X11">
        <v>0</v>
      </c>
      <c r="Y11">
        <v>66.55</v>
      </c>
      <c r="Z11" t="s">
        <v>156</v>
      </c>
      <c r="AB11" s="29" t="s">
        <v>142</v>
      </c>
      <c r="AC11" s="29"/>
      <c r="AD11" t="s">
        <v>143</v>
      </c>
      <c r="AE11" t="s">
        <v>141</v>
      </c>
      <c r="AF11" t="s">
        <v>143</v>
      </c>
      <c r="AG11" s="29" t="s">
        <v>142</v>
      </c>
      <c r="AH11" s="29" t="s">
        <v>562</v>
      </c>
      <c r="AI11" t="s">
        <v>144</v>
      </c>
      <c r="AJ11" t="s">
        <v>144</v>
      </c>
      <c r="AK11" t="s">
        <v>145</v>
      </c>
      <c r="AL11" t="s">
        <v>144</v>
      </c>
      <c r="AM11" t="s">
        <v>144</v>
      </c>
      <c r="AN11" t="s">
        <v>144</v>
      </c>
      <c r="AO11" t="s">
        <v>144</v>
      </c>
      <c r="AP11" t="s">
        <v>144</v>
      </c>
      <c r="AQ11">
        <v>1</v>
      </c>
      <c r="AS11" t="str">
        <f t="shared" si="0"/>
        <v>20250500|150-2500092-000                         |M1500012|31/05/2025|          |01|F001                |0|4815166|                    |6|20432405525    |PROCESOS DE MEDIOS DE PAGO S.A.                             |0|0|56.4|10.15|0|0|0|0|0.00|0|66.55|PEN||01/01/0001||-                   |   |-                   |01/01/0001|0                   | | |            | | | | | |1|</v>
      </c>
    </row>
    <row r="12" spans="1:45" ht="15" customHeight="1" x14ac:dyDescent="0.25">
      <c r="A12">
        <v>5</v>
      </c>
      <c r="B12">
        <v>20250500</v>
      </c>
      <c r="C12" t="s">
        <v>587</v>
      </c>
      <c r="D12" t="s">
        <v>588</v>
      </c>
      <c r="E12" s="29" t="s">
        <v>180</v>
      </c>
      <c r="F12" s="29" t="s">
        <v>139</v>
      </c>
      <c r="G12" s="30" t="s">
        <v>28</v>
      </c>
      <c r="H12" s="29" t="s">
        <v>599</v>
      </c>
      <c r="I12">
        <v>0</v>
      </c>
      <c r="J12">
        <v>1161289</v>
      </c>
      <c r="K12" t="s">
        <v>140</v>
      </c>
      <c r="L12">
        <v>6</v>
      </c>
      <c r="M12" s="29" t="s">
        <v>565</v>
      </c>
      <c r="N12" t="s">
        <v>566</v>
      </c>
      <c r="O12">
        <v>0</v>
      </c>
      <c r="P12">
        <v>0</v>
      </c>
      <c r="Q12">
        <v>25.71</v>
      </c>
      <c r="R12">
        <v>4.63</v>
      </c>
      <c r="S12">
        <v>0</v>
      </c>
      <c r="T12">
        <v>0</v>
      </c>
      <c r="U12">
        <v>0</v>
      </c>
      <c r="V12">
        <v>0</v>
      </c>
      <c r="W12" s="28" t="s">
        <v>155</v>
      </c>
      <c r="X12">
        <v>103.39</v>
      </c>
      <c r="Y12">
        <v>133.72999999999999</v>
      </c>
      <c r="Z12" t="s">
        <v>156</v>
      </c>
      <c r="AB12" s="29" t="s">
        <v>142</v>
      </c>
      <c r="AC12" s="29"/>
      <c r="AD12" t="s">
        <v>143</v>
      </c>
      <c r="AE12" t="s">
        <v>141</v>
      </c>
      <c r="AF12" t="s">
        <v>143</v>
      </c>
      <c r="AG12" s="29" t="s">
        <v>142</v>
      </c>
      <c r="AH12" s="29" t="s">
        <v>562</v>
      </c>
      <c r="AI12" t="s">
        <v>144</v>
      </c>
      <c r="AJ12" t="s">
        <v>144</v>
      </c>
      <c r="AK12" t="s">
        <v>145</v>
      </c>
      <c r="AL12" t="s">
        <v>144</v>
      </c>
      <c r="AM12" t="s">
        <v>144</v>
      </c>
      <c r="AN12" t="s">
        <v>144</v>
      </c>
      <c r="AO12" t="s">
        <v>144</v>
      </c>
      <c r="AP12" t="s">
        <v>144</v>
      </c>
      <c r="AQ12">
        <v>1</v>
      </c>
      <c r="AS12" t="str">
        <f t="shared" si="0"/>
        <v>20250500|150-2500093-000                         |M1500022|31/05/2025|          |30|F001                |0|1161289|                    |6|20432405525    |PROCESOS DE MEDIOS DE PAGO S.A.                             |0|0|25.71|4.63|0|0|0|0|0.00|103.39|133.73|PEN||01/01/0001||-                   |   |-                   |01/01/0001|0                   | | |            | | | | | |1|</v>
      </c>
    </row>
    <row r="13" spans="1:45" ht="15" customHeight="1" x14ac:dyDescent="0.25">
      <c r="A13">
        <v>6</v>
      </c>
      <c r="B13">
        <v>20250500</v>
      </c>
      <c r="C13" t="s">
        <v>589</v>
      </c>
      <c r="D13" t="s">
        <v>590</v>
      </c>
      <c r="E13" s="29" t="s">
        <v>180</v>
      </c>
      <c r="F13" s="29" t="s">
        <v>139</v>
      </c>
      <c r="G13" s="30" t="s">
        <v>28</v>
      </c>
      <c r="H13" s="29" t="s">
        <v>599</v>
      </c>
      <c r="I13">
        <v>0</v>
      </c>
      <c r="J13">
        <v>1161290</v>
      </c>
      <c r="K13" t="s">
        <v>140</v>
      </c>
      <c r="L13">
        <v>6</v>
      </c>
      <c r="M13" s="29" t="s">
        <v>565</v>
      </c>
      <c r="N13" t="s">
        <v>566</v>
      </c>
      <c r="O13">
        <v>0</v>
      </c>
      <c r="P13">
        <v>0</v>
      </c>
      <c r="Q13">
        <v>6436.65</v>
      </c>
      <c r="R13">
        <v>1158.5999999999999</v>
      </c>
      <c r="S13">
        <v>0</v>
      </c>
      <c r="T13">
        <v>0</v>
      </c>
      <c r="U13">
        <v>0</v>
      </c>
      <c r="V13">
        <v>0</v>
      </c>
      <c r="W13" s="28" t="s">
        <v>155</v>
      </c>
      <c r="X13">
        <v>0</v>
      </c>
      <c r="Y13">
        <v>7595.25</v>
      </c>
      <c r="Z13" t="s">
        <v>156</v>
      </c>
      <c r="AB13" s="29" t="s">
        <v>142</v>
      </c>
      <c r="AC13" s="29"/>
      <c r="AD13" t="s">
        <v>143</v>
      </c>
      <c r="AE13" t="s">
        <v>141</v>
      </c>
      <c r="AF13" t="s">
        <v>143</v>
      </c>
      <c r="AG13" s="29" t="s">
        <v>142</v>
      </c>
      <c r="AH13" s="29" t="s">
        <v>562</v>
      </c>
      <c r="AI13" t="s">
        <v>144</v>
      </c>
      <c r="AJ13" t="s">
        <v>144</v>
      </c>
      <c r="AK13" t="s">
        <v>145</v>
      </c>
      <c r="AL13" t="s">
        <v>144</v>
      </c>
      <c r="AM13" t="s">
        <v>144</v>
      </c>
      <c r="AN13" t="s">
        <v>144</v>
      </c>
      <c r="AO13" t="s">
        <v>144</v>
      </c>
      <c r="AP13" t="s">
        <v>144</v>
      </c>
      <c r="AQ13">
        <v>1</v>
      </c>
      <c r="AS13" t="str">
        <f t="shared" si="0"/>
        <v>20250500|150-2500094-000                         |M1500023|31/05/2025|          |30|F001                |0|1161290|                    |6|20432405525    |PROCESOS DE MEDIOS DE PAGO S.A.                             |0|0|6436.65|1158.6|0|0|0|0|0.00|0|7595.25|PEN||01/01/0001||-                   |   |-                   |01/01/0001|0                   | | |            | | | | | |1|</v>
      </c>
    </row>
    <row r="14" spans="1:45" s="31" customFormat="1" ht="15" customHeight="1" x14ac:dyDescent="0.25">
      <c r="A14">
        <v>7</v>
      </c>
      <c r="B14" s="31">
        <v>20250500</v>
      </c>
      <c r="C14" s="31" t="s">
        <v>575</v>
      </c>
      <c r="D14" s="31" t="s">
        <v>576</v>
      </c>
      <c r="E14" s="33" t="s">
        <v>190</v>
      </c>
      <c r="F14" s="33" t="s">
        <v>139</v>
      </c>
      <c r="G14" s="33" t="s">
        <v>230</v>
      </c>
      <c r="H14" s="33" t="s">
        <v>600</v>
      </c>
      <c r="I14" s="31">
        <v>0</v>
      </c>
      <c r="J14" s="31">
        <v>1354552</v>
      </c>
      <c r="K14" s="31" t="s">
        <v>140</v>
      </c>
      <c r="L14" s="31">
        <v>6</v>
      </c>
      <c r="M14" s="33" t="s">
        <v>565</v>
      </c>
      <c r="N14" s="31" t="s">
        <v>566</v>
      </c>
      <c r="O14" s="31">
        <v>0</v>
      </c>
      <c r="P14" s="31">
        <v>0</v>
      </c>
      <c r="Q14" s="31">
        <v>-0.47</v>
      </c>
      <c r="R14" s="31">
        <v>-0.08</v>
      </c>
      <c r="S14" s="31">
        <v>0</v>
      </c>
      <c r="T14" s="31">
        <v>0</v>
      </c>
      <c r="U14" s="31">
        <v>0</v>
      </c>
      <c r="V14" s="31">
        <v>0</v>
      </c>
      <c r="W14" s="34" t="s">
        <v>155</v>
      </c>
      <c r="X14" s="31">
        <v>0</v>
      </c>
      <c r="Y14" s="31">
        <v>-0.55000000000000004</v>
      </c>
      <c r="Z14" s="31" t="s">
        <v>156</v>
      </c>
      <c r="AB14" s="32" t="s">
        <v>163</v>
      </c>
      <c r="AC14" s="32" t="s">
        <v>28</v>
      </c>
      <c r="AD14" s="31" t="s">
        <v>157</v>
      </c>
      <c r="AE14" s="31" t="s">
        <v>141</v>
      </c>
      <c r="AF14" s="31">
        <v>1124043</v>
      </c>
      <c r="AG14" s="33" t="s">
        <v>142</v>
      </c>
      <c r="AH14" s="33" t="s">
        <v>562</v>
      </c>
      <c r="AI14" s="31" t="s">
        <v>144</v>
      </c>
      <c r="AJ14" s="31" t="s">
        <v>144</v>
      </c>
      <c r="AK14" s="31" t="s">
        <v>145</v>
      </c>
      <c r="AL14" s="31" t="s">
        <v>144</v>
      </c>
      <c r="AM14" s="31" t="s">
        <v>144</v>
      </c>
      <c r="AN14" s="31" t="s">
        <v>144</v>
      </c>
      <c r="AO14" s="31" t="s">
        <v>144</v>
      </c>
      <c r="AP14" s="31" t="s">
        <v>144</v>
      </c>
      <c r="AQ14" s="31">
        <v>1</v>
      </c>
      <c r="AS14" t="str">
        <f t="shared" si="0"/>
        <v>20250500|150-2500095-000                         |M1500016|22/05/2025|          |07|F003                |0|1354552|                    |6|20432405525    |PROCESOS DE MEDIOS DE PAGO S.A.                             |0|0|-0.47|-0.08|0|0|0|0|0.00|0|-0.55|PEN||31/03/2025|30|F001|   |1124043|01/01/0001|0                   | | |            | | | | | |1|</v>
      </c>
    </row>
    <row r="15" spans="1:45" s="31" customFormat="1" ht="15" customHeight="1" x14ac:dyDescent="0.25">
      <c r="A15">
        <v>8</v>
      </c>
      <c r="B15" s="31">
        <v>20250500</v>
      </c>
      <c r="C15" s="31" t="s">
        <v>577</v>
      </c>
      <c r="D15" s="31" t="s">
        <v>578</v>
      </c>
      <c r="E15" s="33" t="s">
        <v>184</v>
      </c>
      <c r="F15" s="33" t="s">
        <v>139</v>
      </c>
      <c r="G15" s="33" t="s">
        <v>230</v>
      </c>
      <c r="H15" s="33" t="s">
        <v>600</v>
      </c>
      <c r="I15" s="31">
        <v>0</v>
      </c>
      <c r="J15" s="31">
        <v>1358147</v>
      </c>
      <c r="K15" s="31" t="s">
        <v>140</v>
      </c>
      <c r="L15" s="31">
        <v>6</v>
      </c>
      <c r="M15" s="33" t="s">
        <v>565</v>
      </c>
      <c r="N15" s="31" t="s">
        <v>566</v>
      </c>
      <c r="O15" s="31">
        <v>0</v>
      </c>
      <c r="P15" s="31">
        <v>0</v>
      </c>
      <c r="Q15" s="31">
        <v>-0.47</v>
      </c>
      <c r="R15" s="31">
        <v>-0.08</v>
      </c>
      <c r="S15" s="31">
        <v>0</v>
      </c>
      <c r="T15" s="31">
        <v>0</v>
      </c>
      <c r="U15" s="31">
        <v>0</v>
      </c>
      <c r="V15" s="31">
        <v>0</v>
      </c>
      <c r="W15" s="34" t="s">
        <v>155</v>
      </c>
      <c r="X15" s="31">
        <v>0</v>
      </c>
      <c r="Y15" s="31">
        <v>-0.55000000000000004</v>
      </c>
      <c r="Z15" s="31" t="s">
        <v>156</v>
      </c>
      <c r="AB15" s="32" t="s">
        <v>152</v>
      </c>
      <c r="AC15" s="32" t="s">
        <v>28</v>
      </c>
      <c r="AD15" s="31" t="s">
        <v>157</v>
      </c>
      <c r="AE15" s="31" t="s">
        <v>141</v>
      </c>
      <c r="AF15" s="31">
        <v>1142609</v>
      </c>
      <c r="AG15" s="33" t="s">
        <v>142</v>
      </c>
      <c r="AH15" s="33" t="s">
        <v>562</v>
      </c>
      <c r="AI15" s="31" t="s">
        <v>144</v>
      </c>
      <c r="AJ15" s="31" t="s">
        <v>144</v>
      </c>
      <c r="AK15" s="31" t="s">
        <v>145</v>
      </c>
      <c r="AL15" s="31" t="s">
        <v>144</v>
      </c>
      <c r="AM15" s="31" t="s">
        <v>144</v>
      </c>
      <c r="AN15" s="31" t="s">
        <v>144</v>
      </c>
      <c r="AO15" s="31" t="s">
        <v>144</v>
      </c>
      <c r="AP15" s="31" t="s">
        <v>144</v>
      </c>
      <c r="AQ15" s="31">
        <v>1</v>
      </c>
      <c r="AS15" t="str">
        <f t="shared" si="0"/>
        <v>20250500|150-2500096-000                         |M1500017|28/05/2025|          |07|F003                |0|1358147|                    |6|20432405525    |PROCESOS DE MEDIOS DE PAGO S.A.                             |0|0|-0.47|-0.08|0|0|0|0|0.00|0|-0.55|PEN||30/04/2025|30|F001|   |1142609|01/01/0001|0                   | | |            | | | | | |1|</v>
      </c>
    </row>
    <row r="16" spans="1:45" s="31" customFormat="1" ht="15" customHeight="1" x14ac:dyDescent="0.25">
      <c r="A16">
        <v>9</v>
      </c>
      <c r="B16" s="31">
        <v>20250500</v>
      </c>
      <c r="C16" s="31" t="s">
        <v>571</v>
      </c>
      <c r="D16" s="31" t="s">
        <v>572</v>
      </c>
      <c r="E16" s="33" t="s">
        <v>185</v>
      </c>
      <c r="F16" s="33" t="s">
        <v>139</v>
      </c>
      <c r="G16" s="33" t="s">
        <v>230</v>
      </c>
      <c r="H16" s="33" t="s">
        <v>600</v>
      </c>
      <c r="I16" s="31">
        <v>0</v>
      </c>
      <c r="J16" s="31">
        <v>1351027</v>
      </c>
      <c r="K16" s="31" t="s">
        <v>140</v>
      </c>
      <c r="L16" s="31">
        <v>6</v>
      </c>
      <c r="M16" s="33" t="s">
        <v>565</v>
      </c>
      <c r="N16" s="31" t="s">
        <v>566</v>
      </c>
      <c r="O16" s="31">
        <v>0</v>
      </c>
      <c r="P16" s="31">
        <v>0</v>
      </c>
      <c r="Q16" s="31">
        <v>-0.47</v>
      </c>
      <c r="R16" s="31">
        <v>-0.08</v>
      </c>
      <c r="S16" s="31">
        <v>0</v>
      </c>
      <c r="T16" s="31">
        <v>0</v>
      </c>
      <c r="U16" s="31">
        <v>0</v>
      </c>
      <c r="V16" s="31">
        <v>0</v>
      </c>
      <c r="W16" s="34" t="s">
        <v>155</v>
      </c>
      <c r="X16" s="31">
        <v>0</v>
      </c>
      <c r="Y16" s="31">
        <v>-0.55000000000000004</v>
      </c>
      <c r="Z16" s="31" t="s">
        <v>156</v>
      </c>
      <c r="AB16" s="32" t="s">
        <v>152</v>
      </c>
      <c r="AC16" s="32" t="s">
        <v>28</v>
      </c>
      <c r="AD16" s="31" t="s">
        <v>157</v>
      </c>
      <c r="AE16" s="31" t="s">
        <v>141</v>
      </c>
      <c r="AF16" s="31">
        <v>1142609</v>
      </c>
      <c r="AG16" s="33" t="s">
        <v>142</v>
      </c>
      <c r="AH16" s="33" t="s">
        <v>562</v>
      </c>
      <c r="AI16" s="31" t="s">
        <v>144</v>
      </c>
      <c r="AJ16" s="31" t="s">
        <v>144</v>
      </c>
      <c r="AK16" s="31" t="s">
        <v>145</v>
      </c>
      <c r="AL16" s="31" t="s">
        <v>144</v>
      </c>
      <c r="AM16" s="31" t="s">
        <v>144</v>
      </c>
      <c r="AN16" s="31" t="s">
        <v>144</v>
      </c>
      <c r="AO16" s="31" t="s">
        <v>144</v>
      </c>
      <c r="AP16" s="31" t="s">
        <v>144</v>
      </c>
      <c r="AQ16" s="31">
        <v>1</v>
      </c>
      <c r="AS16" t="str">
        <f t="shared" si="0"/>
        <v>20250500|150-2500097-000                         |M1500014|20/05/2025|          |07|F003                |0|1351027|                    |6|20432405525    |PROCESOS DE MEDIOS DE PAGO S.A.                             |0|0|-0.47|-0.08|0|0|0|0|0.00|0|-0.55|PEN||30/04/2025|30|F001|   |1142609|01/01/0001|0                   | | |            | | | | | |1|</v>
      </c>
    </row>
    <row r="17" spans="1:45" s="31" customFormat="1" ht="15" customHeight="1" x14ac:dyDescent="0.25">
      <c r="A17">
        <v>10</v>
      </c>
      <c r="B17" s="31">
        <v>20250500</v>
      </c>
      <c r="C17" s="31" t="s">
        <v>573</v>
      </c>
      <c r="D17" s="31" t="s">
        <v>574</v>
      </c>
      <c r="E17" s="33" t="s">
        <v>190</v>
      </c>
      <c r="F17" s="33" t="s">
        <v>139</v>
      </c>
      <c r="G17" s="33" t="s">
        <v>230</v>
      </c>
      <c r="H17" s="33" t="s">
        <v>600</v>
      </c>
      <c r="I17" s="31">
        <v>0</v>
      </c>
      <c r="J17" s="31">
        <v>1354320</v>
      </c>
      <c r="K17" s="31" t="s">
        <v>140</v>
      </c>
      <c r="L17" s="31">
        <v>6</v>
      </c>
      <c r="M17" s="33" t="s">
        <v>565</v>
      </c>
      <c r="N17" s="31" t="s">
        <v>566</v>
      </c>
      <c r="O17" s="31">
        <v>0</v>
      </c>
      <c r="P17" s="31">
        <v>0</v>
      </c>
      <c r="Q17" s="31">
        <v>-0.47</v>
      </c>
      <c r="R17" s="31">
        <v>-0.08</v>
      </c>
      <c r="S17" s="31">
        <v>0</v>
      </c>
      <c r="T17" s="31">
        <v>0</v>
      </c>
      <c r="U17" s="31">
        <v>0</v>
      </c>
      <c r="V17" s="31">
        <v>0</v>
      </c>
      <c r="W17" s="34" t="s">
        <v>155</v>
      </c>
      <c r="X17" s="31">
        <v>0</v>
      </c>
      <c r="Y17" s="31">
        <v>-0.55000000000000004</v>
      </c>
      <c r="Z17" s="31" t="s">
        <v>156</v>
      </c>
      <c r="AB17" s="32" t="s">
        <v>152</v>
      </c>
      <c r="AC17" s="32" t="s">
        <v>28</v>
      </c>
      <c r="AD17" s="31" t="s">
        <v>157</v>
      </c>
      <c r="AE17" s="31" t="s">
        <v>141</v>
      </c>
      <c r="AF17" s="31">
        <v>1142609</v>
      </c>
      <c r="AG17" s="33" t="s">
        <v>142</v>
      </c>
      <c r="AH17" s="33" t="s">
        <v>562</v>
      </c>
      <c r="AI17" s="31" t="s">
        <v>144</v>
      </c>
      <c r="AJ17" s="31" t="s">
        <v>144</v>
      </c>
      <c r="AK17" s="31" t="s">
        <v>145</v>
      </c>
      <c r="AL17" s="31" t="s">
        <v>144</v>
      </c>
      <c r="AM17" s="31" t="s">
        <v>144</v>
      </c>
      <c r="AN17" s="31" t="s">
        <v>144</v>
      </c>
      <c r="AO17" s="31" t="s">
        <v>144</v>
      </c>
      <c r="AP17" s="31" t="s">
        <v>144</v>
      </c>
      <c r="AQ17" s="31">
        <v>1</v>
      </c>
      <c r="AS17" t="str">
        <f t="shared" si="0"/>
        <v>20250500|150-2500098-000                         |M1500015|22/05/2025|          |07|F003                |0|1354320|                    |6|20432405525    |PROCESOS DE MEDIOS DE PAGO S.A.                             |0|0|-0.47|-0.08|0|0|0|0|0.00|0|-0.55|PEN||30/04/2025|30|F001|   |1142609|01/01/0001|0                   | | |            | | | | | |1|</v>
      </c>
    </row>
    <row r="18" spans="1:45" s="31" customFormat="1" ht="15" customHeight="1" x14ac:dyDescent="0.25">
      <c r="A18">
        <v>11</v>
      </c>
      <c r="B18" s="31">
        <v>20250500</v>
      </c>
      <c r="C18" s="31" t="s">
        <v>579</v>
      </c>
      <c r="D18" s="31" t="s">
        <v>580</v>
      </c>
      <c r="E18" s="33" t="s">
        <v>184</v>
      </c>
      <c r="F18" s="33" t="s">
        <v>139</v>
      </c>
      <c r="G18" s="33" t="s">
        <v>230</v>
      </c>
      <c r="H18" s="33" t="s">
        <v>600</v>
      </c>
      <c r="I18" s="31">
        <v>0</v>
      </c>
      <c r="J18" s="31">
        <v>1358148</v>
      </c>
      <c r="K18" s="31" t="s">
        <v>140</v>
      </c>
      <c r="L18" s="31">
        <v>6</v>
      </c>
      <c r="M18" s="33" t="s">
        <v>565</v>
      </c>
      <c r="N18" s="31" t="s">
        <v>566</v>
      </c>
      <c r="O18" s="31">
        <v>0</v>
      </c>
      <c r="P18" s="31">
        <v>0</v>
      </c>
      <c r="Q18" s="31">
        <v>-0.47</v>
      </c>
      <c r="R18" s="31">
        <v>-0.08</v>
      </c>
      <c r="S18" s="31">
        <v>0</v>
      </c>
      <c r="T18" s="31">
        <v>0</v>
      </c>
      <c r="U18" s="31">
        <v>0</v>
      </c>
      <c r="V18" s="31">
        <v>0</v>
      </c>
      <c r="W18" s="34" t="s">
        <v>155</v>
      </c>
      <c r="X18" s="31">
        <v>0</v>
      </c>
      <c r="Y18" s="31">
        <v>-0.55000000000000004</v>
      </c>
      <c r="Z18" s="31" t="s">
        <v>156</v>
      </c>
      <c r="AB18" s="32" t="s">
        <v>164</v>
      </c>
      <c r="AC18" s="32" t="s">
        <v>28</v>
      </c>
      <c r="AD18" s="31" t="s">
        <v>157</v>
      </c>
      <c r="AE18" s="31" t="s">
        <v>141</v>
      </c>
      <c r="AF18" s="31">
        <v>1105617</v>
      </c>
      <c r="AG18" s="33" t="s">
        <v>142</v>
      </c>
      <c r="AH18" s="33" t="s">
        <v>562</v>
      </c>
      <c r="AI18" s="31" t="s">
        <v>144</v>
      </c>
      <c r="AJ18" s="31" t="s">
        <v>144</v>
      </c>
      <c r="AK18" s="31" t="s">
        <v>145</v>
      </c>
      <c r="AL18" s="31" t="s">
        <v>144</v>
      </c>
      <c r="AM18" s="31" t="s">
        <v>144</v>
      </c>
      <c r="AN18" s="31" t="s">
        <v>144</v>
      </c>
      <c r="AO18" s="31" t="s">
        <v>144</v>
      </c>
      <c r="AP18" s="31" t="s">
        <v>144</v>
      </c>
      <c r="AQ18" s="31">
        <v>1</v>
      </c>
      <c r="AS18" t="str">
        <f t="shared" si="0"/>
        <v>20250500|150-2500099-000                         |M1500018|28/05/2025|          |07|F003                |0|1358148|                    |6|20432405525    |PROCESOS DE MEDIOS DE PAGO S.A.                             |0|0|-0.47|-0.08|0|0|0|0|0.00|0|-0.55|PEN||28/02/2025|30|F001|   |1105617|01/01/0001|0                   | | |            | | | | | |1|</v>
      </c>
    </row>
    <row r="19" spans="1:45" s="31" customFormat="1" ht="15" customHeight="1" x14ac:dyDescent="0.25">
      <c r="A19">
        <v>12</v>
      </c>
      <c r="B19" s="31">
        <v>20250500</v>
      </c>
      <c r="C19" s="31" t="s">
        <v>583</v>
      </c>
      <c r="D19" s="31" t="s">
        <v>584</v>
      </c>
      <c r="E19" s="33" t="s">
        <v>186</v>
      </c>
      <c r="F19" s="33" t="s">
        <v>139</v>
      </c>
      <c r="G19" s="33" t="s">
        <v>230</v>
      </c>
      <c r="H19" s="33" t="s">
        <v>600</v>
      </c>
      <c r="I19" s="31">
        <v>0</v>
      </c>
      <c r="J19" s="31">
        <v>1359556</v>
      </c>
      <c r="K19" s="31" t="s">
        <v>140</v>
      </c>
      <c r="L19" s="31">
        <v>6</v>
      </c>
      <c r="M19" s="33" t="s">
        <v>565</v>
      </c>
      <c r="N19" s="31" t="s">
        <v>566</v>
      </c>
      <c r="O19" s="31">
        <v>0</v>
      </c>
      <c r="P19" s="31">
        <v>0</v>
      </c>
      <c r="Q19" s="31">
        <v>-0.47</v>
      </c>
      <c r="R19" s="31">
        <v>-0.08</v>
      </c>
      <c r="S19" s="31">
        <v>0</v>
      </c>
      <c r="T19" s="31">
        <v>0</v>
      </c>
      <c r="U19" s="31">
        <v>0</v>
      </c>
      <c r="V19" s="31">
        <v>0</v>
      </c>
      <c r="W19" s="34" t="s">
        <v>155</v>
      </c>
      <c r="X19" s="31">
        <v>0</v>
      </c>
      <c r="Y19" s="31">
        <v>-0.55000000000000004</v>
      </c>
      <c r="Z19" s="31" t="s">
        <v>156</v>
      </c>
      <c r="AB19" s="32" t="s">
        <v>163</v>
      </c>
      <c r="AC19" s="32" t="s">
        <v>28</v>
      </c>
      <c r="AD19" s="31" t="s">
        <v>157</v>
      </c>
      <c r="AE19" s="31" t="s">
        <v>141</v>
      </c>
      <c r="AF19" s="31">
        <v>1124043</v>
      </c>
      <c r="AG19" s="33" t="s">
        <v>142</v>
      </c>
      <c r="AH19" s="33" t="s">
        <v>562</v>
      </c>
      <c r="AI19" s="31" t="s">
        <v>144</v>
      </c>
      <c r="AJ19" s="31" t="s">
        <v>144</v>
      </c>
      <c r="AK19" s="31" t="s">
        <v>145</v>
      </c>
      <c r="AL19" s="31" t="s">
        <v>144</v>
      </c>
      <c r="AM19" s="31" t="s">
        <v>144</v>
      </c>
      <c r="AN19" s="31" t="s">
        <v>144</v>
      </c>
      <c r="AO19" s="31" t="s">
        <v>144</v>
      </c>
      <c r="AP19" s="31" t="s">
        <v>144</v>
      </c>
      <c r="AQ19" s="31">
        <v>1</v>
      </c>
      <c r="AS19" t="str">
        <f t="shared" si="0"/>
        <v>20250500|150-2500100-000                         |M1500020|30/05/2025|          |07|F003                |0|1359556|                    |6|20432405525    |PROCESOS DE MEDIOS DE PAGO S.A.                             |0|0|-0.47|-0.08|0|0|0|0|0.00|0|-0.55|PEN||31/03/2025|30|F001|   |1124043|01/01/0001|0                   | | |            | | | | | |1|</v>
      </c>
    </row>
    <row r="20" spans="1:45" s="31" customFormat="1" ht="15" customHeight="1" x14ac:dyDescent="0.25">
      <c r="A20">
        <v>13</v>
      </c>
      <c r="B20" s="31">
        <v>20250500</v>
      </c>
      <c r="C20" s="31" t="s">
        <v>581</v>
      </c>
      <c r="D20" s="31" t="s">
        <v>582</v>
      </c>
      <c r="E20" s="33" t="s">
        <v>184</v>
      </c>
      <c r="F20" s="33" t="s">
        <v>139</v>
      </c>
      <c r="G20" s="33" t="s">
        <v>230</v>
      </c>
      <c r="H20" s="33" t="s">
        <v>600</v>
      </c>
      <c r="I20" s="31">
        <v>0</v>
      </c>
      <c r="J20" s="31">
        <v>1358149</v>
      </c>
      <c r="K20" s="31" t="s">
        <v>140</v>
      </c>
      <c r="L20" s="31">
        <v>6</v>
      </c>
      <c r="M20" s="33" t="s">
        <v>565</v>
      </c>
      <c r="N20" s="31" t="s">
        <v>566</v>
      </c>
      <c r="O20" s="31">
        <v>0</v>
      </c>
      <c r="P20" s="31">
        <v>0</v>
      </c>
      <c r="Q20" s="31">
        <v>-0.47</v>
      </c>
      <c r="R20" s="31">
        <v>-0.08</v>
      </c>
      <c r="S20" s="31">
        <v>0</v>
      </c>
      <c r="T20" s="31">
        <v>0</v>
      </c>
      <c r="U20" s="31">
        <v>0</v>
      </c>
      <c r="V20" s="31">
        <v>0</v>
      </c>
      <c r="W20" s="34" t="s">
        <v>155</v>
      </c>
      <c r="X20" s="31">
        <v>0</v>
      </c>
      <c r="Y20" s="31">
        <v>-0.55000000000000004</v>
      </c>
      <c r="Z20" s="31" t="s">
        <v>156</v>
      </c>
      <c r="AB20" s="32" t="s">
        <v>152</v>
      </c>
      <c r="AC20" s="32" t="s">
        <v>28</v>
      </c>
      <c r="AD20" s="31" t="s">
        <v>157</v>
      </c>
      <c r="AE20" s="31" t="s">
        <v>141</v>
      </c>
      <c r="AF20" s="31">
        <v>1142609</v>
      </c>
      <c r="AG20" s="33" t="s">
        <v>142</v>
      </c>
      <c r="AH20" s="33" t="s">
        <v>562</v>
      </c>
      <c r="AI20" s="31" t="s">
        <v>144</v>
      </c>
      <c r="AJ20" s="31" t="s">
        <v>144</v>
      </c>
      <c r="AK20" s="31" t="s">
        <v>145</v>
      </c>
      <c r="AL20" s="31" t="s">
        <v>144</v>
      </c>
      <c r="AM20" s="31" t="s">
        <v>144</v>
      </c>
      <c r="AN20" s="31" t="s">
        <v>144</v>
      </c>
      <c r="AO20" s="31" t="s">
        <v>144</v>
      </c>
      <c r="AP20" s="31" t="s">
        <v>144</v>
      </c>
      <c r="AQ20" s="31">
        <v>1</v>
      </c>
      <c r="AS20" t="str">
        <f t="shared" si="0"/>
        <v>20250500|150-2500101-000                         |M1500019|28/05/2025|          |07|F003                |0|1358149|                    |6|20432405525    |PROCESOS DE MEDIOS DE PAGO S.A.                             |0|0|-0.47|-0.08|0|0|0|0|0.00|0|-0.55|PEN||30/04/2025|30|F001|   |1142609|01/01/0001|0                   | | |            | | | | | |1|</v>
      </c>
    </row>
    <row r="21" spans="1:45" ht="15" customHeight="1" x14ac:dyDescent="0.25">
      <c r="A21">
        <v>14</v>
      </c>
      <c r="B21">
        <v>20250500</v>
      </c>
      <c r="C21" t="s">
        <v>585</v>
      </c>
      <c r="D21" t="s">
        <v>586</v>
      </c>
      <c r="E21" s="29" t="s">
        <v>180</v>
      </c>
      <c r="F21" s="29" t="s">
        <v>139</v>
      </c>
      <c r="G21" s="30" t="s">
        <v>28</v>
      </c>
      <c r="H21" s="29" t="s">
        <v>597</v>
      </c>
      <c r="I21">
        <v>0</v>
      </c>
      <c r="J21">
        <v>1806393</v>
      </c>
      <c r="K21" t="s">
        <v>140</v>
      </c>
      <c r="L21">
        <v>6</v>
      </c>
      <c r="M21" s="29" t="s">
        <v>569</v>
      </c>
      <c r="N21" t="s">
        <v>570</v>
      </c>
      <c r="O21">
        <v>0</v>
      </c>
      <c r="P21">
        <v>0</v>
      </c>
      <c r="Q21">
        <v>747186.29</v>
      </c>
      <c r="R21">
        <v>133506.04</v>
      </c>
      <c r="S21">
        <v>0</v>
      </c>
      <c r="T21">
        <v>0</v>
      </c>
      <c r="U21">
        <v>0</v>
      </c>
      <c r="V21">
        <v>0</v>
      </c>
      <c r="W21" s="28" t="s">
        <v>155</v>
      </c>
      <c r="X21">
        <v>1919.17</v>
      </c>
      <c r="Y21">
        <v>882611.5</v>
      </c>
      <c r="Z21" t="s">
        <v>156</v>
      </c>
      <c r="AB21" s="29" t="s">
        <v>142</v>
      </c>
      <c r="AC21" s="29"/>
      <c r="AD21" t="s">
        <v>143</v>
      </c>
      <c r="AE21" t="s">
        <v>141</v>
      </c>
      <c r="AF21" t="s">
        <v>143</v>
      </c>
      <c r="AG21" s="29" t="s">
        <v>142</v>
      </c>
      <c r="AH21" s="29" t="s">
        <v>562</v>
      </c>
      <c r="AI21" t="s">
        <v>144</v>
      </c>
      <c r="AJ21" t="s">
        <v>144</v>
      </c>
      <c r="AK21" t="s">
        <v>145</v>
      </c>
      <c r="AL21" t="s">
        <v>144</v>
      </c>
      <c r="AM21" t="s">
        <v>144</v>
      </c>
      <c r="AN21" t="s">
        <v>144</v>
      </c>
      <c r="AO21" t="s">
        <v>144</v>
      </c>
      <c r="AP21" t="s">
        <v>144</v>
      </c>
      <c r="AQ21">
        <v>1</v>
      </c>
      <c r="AS21" t="str">
        <f t="shared" si="0"/>
        <v>20250500|150-2500102-000                         |M1500021|31/05/2025|          |30|FD01                |0|1806393|                    |6|20341198217    |COMPANIA PERUANA DE MEDIOS DE PAGO                          |0|0|747186.29|133506.04|0|0|0|0|0.00|1919.17|882611.5|PEN||01/01/0001||-                   |   |-                   |01/01/0001|0                   | | |            | | | | | |1|</v>
      </c>
    </row>
    <row r="22" spans="1:45" ht="15" customHeight="1" x14ac:dyDescent="0.25">
      <c r="A22">
        <v>15</v>
      </c>
      <c r="B22">
        <v>20250500</v>
      </c>
      <c r="C22" t="s">
        <v>567</v>
      </c>
      <c r="D22" t="s">
        <v>568</v>
      </c>
      <c r="E22" s="29" t="s">
        <v>180</v>
      </c>
      <c r="F22" s="29" t="s">
        <v>139</v>
      </c>
      <c r="G22" s="29" t="s">
        <v>230</v>
      </c>
      <c r="H22" s="29" t="s">
        <v>598</v>
      </c>
      <c r="I22">
        <v>0</v>
      </c>
      <c r="J22">
        <v>102704</v>
      </c>
      <c r="K22" t="s">
        <v>140</v>
      </c>
      <c r="L22">
        <v>6</v>
      </c>
      <c r="M22" s="29" t="s">
        <v>569</v>
      </c>
      <c r="N22" t="s">
        <v>570</v>
      </c>
      <c r="O22">
        <v>0</v>
      </c>
      <c r="P22">
        <v>0</v>
      </c>
      <c r="Q22">
        <v>-82.25</v>
      </c>
      <c r="R22">
        <v>-14</v>
      </c>
      <c r="S22">
        <v>0</v>
      </c>
      <c r="T22">
        <v>0</v>
      </c>
      <c r="U22">
        <v>0</v>
      </c>
      <c r="V22">
        <v>0</v>
      </c>
      <c r="W22" s="28" t="s">
        <v>155</v>
      </c>
      <c r="X22">
        <v>0</v>
      </c>
      <c r="Y22">
        <v>-96.25</v>
      </c>
      <c r="Z22" t="s">
        <v>156</v>
      </c>
      <c r="AB22" s="30" t="s">
        <v>152</v>
      </c>
      <c r="AC22" s="30" t="s">
        <v>28</v>
      </c>
      <c r="AD22" t="s">
        <v>400</v>
      </c>
      <c r="AE22" t="s">
        <v>141</v>
      </c>
      <c r="AF22">
        <v>1792661</v>
      </c>
      <c r="AG22" s="29" t="s">
        <v>142</v>
      </c>
      <c r="AH22" s="29" t="s">
        <v>562</v>
      </c>
      <c r="AI22" t="s">
        <v>144</v>
      </c>
      <c r="AJ22" t="s">
        <v>144</v>
      </c>
      <c r="AK22" t="s">
        <v>145</v>
      </c>
      <c r="AL22" t="s">
        <v>144</v>
      </c>
      <c r="AM22" t="s">
        <v>144</v>
      </c>
      <c r="AN22" t="s">
        <v>144</v>
      </c>
      <c r="AO22" t="s">
        <v>144</v>
      </c>
      <c r="AP22" t="s">
        <v>144</v>
      </c>
      <c r="AQ22">
        <v>1</v>
      </c>
      <c r="AS22" t="str">
        <f t="shared" si="0"/>
        <v>20250500|150-2500103-000                         |M1500013|31/05/2025|          |07|FNC1                |0|102704|                    |6|20341198217    |COMPANIA PERUANA DE MEDIOS DE PAGO                          |0|0|-82.25|-14|0|0|0|0|0.00|0|-96.25|PEN||30/04/2025|30|FD01|   |1792661|01/01/0001|0                   | | |            | | | | | |1|</v>
      </c>
    </row>
    <row r="23" spans="1:45" ht="15" customHeight="1" x14ac:dyDescent="0.25">
      <c r="A23">
        <v>16</v>
      </c>
      <c r="B23">
        <v>20250500</v>
      </c>
      <c r="C23" t="s">
        <v>346</v>
      </c>
      <c r="D23" t="s">
        <v>347</v>
      </c>
      <c r="E23" s="29" t="s">
        <v>169</v>
      </c>
      <c r="G23" s="29" t="s">
        <v>147</v>
      </c>
      <c r="H23" s="29" t="s">
        <v>159</v>
      </c>
      <c r="I23">
        <v>0</v>
      </c>
      <c r="J23">
        <v>8420</v>
      </c>
      <c r="L23">
        <v>6</v>
      </c>
      <c r="M23" s="29" t="s">
        <v>348</v>
      </c>
      <c r="N23" t="s">
        <v>349</v>
      </c>
      <c r="O23">
        <v>0</v>
      </c>
      <c r="P23">
        <v>0</v>
      </c>
      <c r="Q23">
        <v>39.840000000000003</v>
      </c>
      <c r="R23">
        <v>7.17</v>
      </c>
      <c r="S23">
        <v>0</v>
      </c>
      <c r="T23">
        <v>0</v>
      </c>
      <c r="U23">
        <v>0</v>
      </c>
      <c r="V23">
        <v>0</v>
      </c>
      <c r="W23" s="28" t="s">
        <v>155</v>
      </c>
      <c r="X23">
        <v>0</v>
      </c>
      <c r="Y23">
        <v>47.01</v>
      </c>
      <c r="Z23" t="s">
        <v>156</v>
      </c>
      <c r="AB23" s="29" t="s">
        <v>142</v>
      </c>
      <c r="AC23" s="29"/>
      <c r="AD23" t="s">
        <v>158</v>
      </c>
      <c r="AF23" t="s">
        <v>158</v>
      </c>
      <c r="AG23" s="29" t="s">
        <v>142</v>
      </c>
      <c r="AH23" s="29" t="s">
        <v>146</v>
      </c>
      <c r="AQ23">
        <v>6</v>
      </c>
      <c r="AS23" t="str">
        <f t="shared" si="0"/>
        <v>20250500|227-441851-4-4|M441851-4|12/03/2025||01|E001|0|8420||6|20526575980|MATHEOS NEW LIFE EMPRESA INDIVIDUAL DE R|0|0|39.84|7.17|0|0|0|0|0.00|0|47.01|PEN||01/01/0001||-||-|01/01/0001|0|||||||||6|</v>
      </c>
    </row>
    <row r="24" spans="1:45" ht="15" customHeight="1" x14ac:dyDescent="0.25">
      <c r="A24">
        <v>17</v>
      </c>
      <c r="B24">
        <v>20250500</v>
      </c>
      <c r="C24" t="s">
        <v>254</v>
      </c>
      <c r="D24" t="s">
        <v>255</v>
      </c>
      <c r="E24" s="29" t="s">
        <v>169</v>
      </c>
      <c r="G24" s="29" t="s">
        <v>147</v>
      </c>
      <c r="H24" s="29" t="s">
        <v>168</v>
      </c>
      <c r="I24">
        <v>0</v>
      </c>
      <c r="J24">
        <v>464</v>
      </c>
      <c r="L24">
        <v>6</v>
      </c>
      <c r="M24" s="29" t="s">
        <v>256</v>
      </c>
      <c r="N24" t="s">
        <v>257</v>
      </c>
      <c r="O24">
        <v>0</v>
      </c>
      <c r="P24">
        <v>0</v>
      </c>
      <c r="Q24">
        <v>19.489999999999998</v>
      </c>
      <c r="R24">
        <v>3.51</v>
      </c>
      <c r="S24">
        <v>0</v>
      </c>
      <c r="T24">
        <v>0</v>
      </c>
      <c r="U24">
        <v>0</v>
      </c>
      <c r="V24">
        <v>0</v>
      </c>
      <c r="W24" s="28" t="s">
        <v>155</v>
      </c>
      <c r="X24">
        <v>0</v>
      </c>
      <c r="Y24">
        <v>23</v>
      </c>
      <c r="Z24" t="s">
        <v>156</v>
      </c>
      <c r="AB24" s="29" t="s">
        <v>142</v>
      </c>
      <c r="AC24" s="29"/>
      <c r="AD24" t="s">
        <v>158</v>
      </c>
      <c r="AF24" t="s">
        <v>158</v>
      </c>
      <c r="AG24" s="29" t="s">
        <v>142</v>
      </c>
      <c r="AH24" s="29" t="s">
        <v>146</v>
      </c>
      <c r="AQ24">
        <v>6</v>
      </c>
      <c r="AS24" t="str">
        <f t="shared" si="0"/>
        <v>20250500|227-441851-5-5|M441851-5|12/03/2025||01|FA01|0|464||6|15602662401|ZHENG XUEYUN|0|0|19.49|3.51|0|0|0|0|0.00|0|23|PEN||01/01/0001||-||-|01/01/0001|0|||||||||6|</v>
      </c>
    </row>
    <row r="25" spans="1:45" s="35" customFormat="1" ht="15" customHeight="1" x14ac:dyDescent="0.25">
      <c r="A25">
        <v>18</v>
      </c>
      <c r="B25">
        <v>20250500</v>
      </c>
      <c r="C25" t="s">
        <v>273</v>
      </c>
      <c r="D25" t="s">
        <v>274</v>
      </c>
      <c r="E25" s="29" t="s">
        <v>222</v>
      </c>
      <c r="F25"/>
      <c r="G25" s="29" t="s">
        <v>147</v>
      </c>
      <c r="H25" s="29" t="s">
        <v>275</v>
      </c>
      <c r="I25">
        <v>0</v>
      </c>
      <c r="J25">
        <v>2277364</v>
      </c>
      <c r="K25"/>
      <c r="L25">
        <v>6</v>
      </c>
      <c r="M25" s="29" t="s">
        <v>218</v>
      </c>
      <c r="N25" t="s">
        <v>219</v>
      </c>
      <c r="O25">
        <v>0</v>
      </c>
      <c r="P25">
        <v>0</v>
      </c>
      <c r="Q25">
        <v>23.85</v>
      </c>
      <c r="R25">
        <v>4.29</v>
      </c>
      <c r="S25">
        <v>0</v>
      </c>
      <c r="T25">
        <v>0</v>
      </c>
      <c r="U25">
        <v>0</v>
      </c>
      <c r="V25">
        <v>0</v>
      </c>
      <c r="W25" s="28" t="s">
        <v>155</v>
      </c>
      <c r="X25">
        <v>0</v>
      </c>
      <c r="Y25">
        <v>28.14</v>
      </c>
      <c r="Z25" t="s">
        <v>156</v>
      </c>
      <c r="AA25"/>
      <c r="AB25" s="29" t="s">
        <v>142</v>
      </c>
      <c r="AC25" s="29"/>
      <c r="AD25" t="s">
        <v>158</v>
      </c>
      <c r="AE25"/>
      <c r="AF25" t="s">
        <v>158</v>
      </c>
      <c r="AG25" s="29" t="s">
        <v>142</v>
      </c>
      <c r="AH25" s="29" t="s">
        <v>146</v>
      </c>
      <c r="AI25"/>
      <c r="AJ25"/>
      <c r="AK25"/>
      <c r="AL25"/>
      <c r="AM25"/>
      <c r="AN25"/>
      <c r="AO25"/>
      <c r="AP25"/>
      <c r="AQ25">
        <v>6</v>
      </c>
      <c r="AR25"/>
      <c r="AS25" t="str">
        <f t="shared" si="0"/>
        <v>20250500|227-441852-3-3|M441852-3|28/03/2025||01|FA76|0|2277364||6|20608300393|COMPAﾑIA FOOD RETAIL S.A.C.|0|0|23.85|4.29|0|0|0|0|0.00|0|28.14|PEN||01/01/0001||-||-|01/01/0001|0|||||||||6|</v>
      </c>
    </row>
    <row r="26" spans="1:45" s="35" customFormat="1" ht="15" customHeight="1" x14ac:dyDescent="0.25">
      <c r="A26">
        <v>19</v>
      </c>
      <c r="B26">
        <v>20250500</v>
      </c>
      <c r="C26" t="s">
        <v>322</v>
      </c>
      <c r="D26" t="s">
        <v>323</v>
      </c>
      <c r="E26" s="29" t="s">
        <v>222</v>
      </c>
      <c r="F26"/>
      <c r="G26" s="29" t="s">
        <v>147</v>
      </c>
      <c r="H26" s="29" t="s">
        <v>275</v>
      </c>
      <c r="I26">
        <v>0</v>
      </c>
      <c r="J26">
        <v>2277365</v>
      </c>
      <c r="K26"/>
      <c r="L26">
        <v>6</v>
      </c>
      <c r="M26" s="29" t="s">
        <v>218</v>
      </c>
      <c r="N26" t="s">
        <v>219</v>
      </c>
      <c r="O26">
        <v>0</v>
      </c>
      <c r="P26">
        <v>0</v>
      </c>
      <c r="Q26">
        <v>35.42</v>
      </c>
      <c r="R26">
        <v>6.38</v>
      </c>
      <c r="S26">
        <v>0</v>
      </c>
      <c r="T26">
        <v>0</v>
      </c>
      <c r="U26">
        <v>0</v>
      </c>
      <c r="V26">
        <v>0</v>
      </c>
      <c r="W26" s="28" t="s">
        <v>155</v>
      </c>
      <c r="X26">
        <v>0</v>
      </c>
      <c r="Y26">
        <v>41.8</v>
      </c>
      <c r="Z26" t="s">
        <v>156</v>
      </c>
      <c r="AA26"/>
      <c r="AB26" s="29" t="s">
        <v>142</v>
      </c>
      <c r="AC26" s="29"/>
      <c r="AD26" t="s">
        <v>158</v>
      </c>
      <c r="AE26"/>
      <c r="AF26" t="s">
        <v>158</v>
      </c>
      <c r="AG26" s="29" t="s">
        <v>142</v>
      </c>
      <c r="AH26" s="29" t="s">
        <v>146</v>
      </c>
      <c r="AI26"/>
      <c r="AJ26"/>
      <c r="AK26"/>
      <c r="AL26"/>
      <c r="AM26"/>
      <c r="AN26"/>
      <c r="AO26"/>
      <c r="AP26"/>
      <c r="AQ26">
        <v>6</v>
      </c>
      <c r="AR26"/>
      <c r="AS26" t="str">
        <f t="shared" si="0"/>
        <v>20250500|227-441852-4-4|M441852-4|28/03/2025||01|FA76|0|2277365||6|20608300393|COMPAﾑIA FOOD RETAIL S.A.C.|0|0|35.42|6.38|0|0|0|0|0.00|0|41.8|PEN||01/01/0001||-||-|01/01/0001|0|||||||||6|</v>
      </c>
    </row>
    <row r="27" spans="1:45" ht="15" customHeight="1" x14ac:dyDescent="0.25">
      <c r="A27">
        <v>20</v>
      </c>
      <c r="B27">
        <v>20250500</v>
      </c>
      <c r="C27" t="s">
        <v>319</v>
      </c>
      <c r="D27" t="s">
        <v>320</v>
      </c>
      <c r="E27" s="29" t="s">
        <v>222</v>
      </c>
      <c r="G27" s="29" t="s">
        <v>147</v>
      </c>
      <c r="H27" s="29" t="s">
        <v>321</v>
      </c>
      <c r="I27">
        <v>0</v>
      </c>
      <c r="J27">
        <v>13402</v>
      </c>
      <c r="L27">
        <v>6</v>
      </c>
      <c r="M27" s="29" t="s">
        <v>252</v>
      </c>
      <c r="N27" t="s">
        <v>253</v>
      </c>
      <c r="O27">
        <v>0</v>
      </c>
      <c r="P27">
        <v>0</v>
      </c>
      <c r="Q27">
        <v>51.1</v>
      </c>
      <c r="R27">
        <v>9.1999999999999993</v>
      </c>
      <c r="S27">
        <v>0</v>
      </c>
      <c r="T27">
        <v>0</v>
      </c>
      <c r="U27">
        <v>0</v>
      </c>
      <c r="V27">
        <v>0</v>
      </c>
      <c r="W27" s="28" t="s">
        <v>155</v>
      </c>
      <c r="X27">
        <v>0</v>
      </c>
      <c r="Y27">
        <v>60.3</v>
      </c>
      <c r="Z27" t="s">
        <v>156</v>
      </c>
      <c r="AB27" s="29" t="s">
        <v>142</v>
      </c>
      <c r="AC27" s="29"/>
      <c r="AD27" t="s">
        <v>158</v>
      </c>
      <c r="AF27" t="s">
        <v>158</v>
      </c>
      <c r="AG27" s="29" t="s">
        <v>142</v>
      </c>
      <c r="AH27" s="29" t="s">
        <v>146</v>
      </c>
      <c r="AQ27">
        <v>6</v>
      </c>
      <c r="AS27" t="str">
        <f t="shared" si="0"/>
        <v>20250500|227-441852-5-5|M441852-5|28/03/2025||01|F142|0|13402||6|20100123330|DELOSI S.A.|0|0|51.1|9.2|0|0|0|0|0.00|0|60.3|PEN||01/01/0001||-||-|01/01/0001|0|||||||||6|</v>
      </c>
    </row>
    <row r="28" spans="1:45" ht="15" customHeight="1" x14ac:dyDescent="0.25">
      <c r="A28">
        <v>21</v>
      </c>
      <c r="B28">
        <v>20250500</v>
      </c>
      <c r="C28" t="s">
        <v>392</v>
      </c>
      <c r="D28" t="s">
        <v>393</v>
      </c>
      <c r="E28" s="29" t="s">
        <v>222</v>
      </c>
      <c r="G28" s="29" t="s">
        <v>147</v>
      </c>
      <c r="H28" s="29" t="s">
        <v>391</v>
      </c>
      <c r="I28">
        <v>0</v>
      </c>
      <c r="J28">
        <v>13</v>
      </c>
      <c r="L28">
        <v>6</v>
      </c>
      <c r="M28" s="29" t="s">
        <v>394</v>
      </c>
      <c r="N28" t="s">
        <v>395</v>
      </c>
      <c r="O28">
        <v>0</v>
      </c>
      <c r="P28">
        <v>0</v>
      </c>
      <c r="Q28">
        <v>10.17</v>
      </c>
      <c r="R28">
        <v>1.83</v>
      </c>
      <c r="S28">
        <v>0</v>
      </c>
      <c r="T28">
        <v>0</v>
      </c>
      <c r="U28">
        <v>0</v>
      </c>
      <c r="V28">
        <v>0</v>
      </c>
      <c r="W28" s="28" t="s">
        <v>155</v>
      </c>
      <c r="X28">
        <v>0</v>
      </c>
      <c r="Y28">
        <v>12</v>
      </c>
      <c r="Z28" t="s">
        <v>156</v>
      </c>
      <c r="AB28" s="29" t="s">
        <v>142</v>
      </c>
      <c r="AC28" s="29"/>
      <c r="AD28" t="s">
        <v>158</v>
      </c>
      <c r="AF28" t="s">
        <v>158</v>
      </c>
      <c r="AG28" s="29" t="s">
        <v>142</v>
      </c>
      <c r="AH28" s="29" t="s">
        <v>146</v>
      </c>
      <c r="AQ28">
        <v>6</v>
      </c>
      <c r="AS28" t="str">
        <f t="shared" si="0"/>
        <v>20250500|227-441852-6-6|M441852-6|28/03/2025||01|F024|0|13||6|20601893895|DULCEZA E.I.R.L.|0|0|10.17|1.83|0|0|0|0|0.00|0|12|PEN||01/01/0001||-||-|01/01/0001|0|||||||||6|</v>
      </c>
    </row>
    <row r="29" spans="1:45" ht="15" customHeight="1" x14ac:dyDescent="0.25">
      <c r="A29">
        <v>22</v>
      </c>
      <c r="B29">
        <v>20250500</v>
      </c>
      <c r="C29" t="s">
        <v>480</v>
      </c>
      <c r="D29" t="s">
        <v>481</v>
      </c>
      <c r="E29" s="29" t="s">
        <v>222</v>
      </c>
      <c r="G29" s="29" t="s">
        <v>147</v>
      </c>
      <c r="H29" s="29" t="s">
        <v>482</v>
      </c>
      <c r="I29">
        <v>0</v>
      </c>
      <c r="J29">
        <v>1750</v>
      </c>
      <c r="L29">
        <v>6</v>
      </c>
      <c r="M29" s="29" t="s">
        <v>483</v>
      </c>
      <c r="N29" t="s">
        <v>484</v>
      </c>
      <c r="O29">
        <v>0</v>
      </c>
      <c r="P29">
        <v>0</v>
      </c>
      <c r="Q29">
        <v>5.93</v>
      </c>
      <c r="R29">
        <v>1.07</v>
      </c>
      <c r="S29">
        <v>0</v>
      </c>
      <c r="T29">
        <v>0</v>
      </c>
      <c r="U29">
        <v>0</v>
      </c>
      <c r="V29">
        <v>0</v>
      </c>
      <c r="W29" s="28" t="s">
        <v>155</v>
      </c>
      <c r="X29">
        <v>0</v>
      </c>
      <c r="Y29">
        <v>7</v>
      </c>
      <c r="Z29" t="s">
        <v>156</v>
      </c>
      <c r="AB29" s="29" t="s">
        <v>142</v>
      </c>
      <c r="AC29" s="29"/>
      <c r="AD29" t="s">
        <v>158</v>
      </c>
      <c r="AF29" t="s">
        <v>158</v>
      </c>
      <c r="AG29" s="29" t="s">
        <v>142</v>
      </c>
      <c r="AH29" s="29" t="s">
        <v>146</v>
      </c>
      <c r="AQ29">
        <v>6</v>
      </c>
      <c r="AS29" t="str">
        <f t="shared" si="0"/>
        <v>20250500|227-441852-7-7|M441852-7|28/03/2025||01|F2Y1|0|1750||6|20606109343|SOLANA COMERCIAL S.A.C.|0|0|5.93|1.07|0|0|0|0|0.00|0|7|PEN||01/01/0001||-||-|01/01/0001|0|||||||||6|</v>
      </c>
    </row>
    <row r="30" spans="1:45" ht="15" customHeight="1" x14ac:dyDescent="0.25">
      <c r="A30">
        <v>23</v>
      </c>
      <c r="B30">
        <v>20250500</v>
      </c>
      <c r="C30" t="s">
        <v>241</v>
      </c>
      <c r="D30" t="s">
        <v>242</v>
      </c>
      <c r="E30" s="29" t="s">
        <v>240</v>
      </c>
      <c r="G30" s="29" t="s">
        <v>147</v>
      </c>
      <c r="H30" s="29" t="s">
        <v>243</v>
      </c>
      <c r="I30">
        <v>0</v>
      </c>
      <c r="J30">
        <v>191526</v>
      </c>
      <c r="L30">
        <v>6</v>
      </c>
      <c r="M30" s="29" t="s">
        <v>244</v>
      </c>
      <c r="N30" t="s">
        <v>245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30</v>
      </c>
      <c r="V30">
        <v>0</v>
      </c>
      <c r="W30" s="28" t="s">
        <v>155</v>
      </c>
      <c r="X30">
        <v>0</v>
      </c>
      <c r="Y30">
        <v>30</v>
      </c>
      <c r="Z30" t="s">
        <v>156</v>
      </c>
      <c r="AB30" s="29" t="s">
        <v>142</v>
      </c>
      <c r="AC30" s="29"/>
      <c r="AD30" t="s">
        <v>158</v>
      </c>
      <c r="AF30" t="s">
        <v>158</v>
      </c>
      <c r="AG30" s="29" t="s">
        <v>142</v>
      </c>
      <c r="AH30" s="29" t="s">
        <v>146</v>
      </c>
      <c r="AQ30">
        <v>0</v>
      </c>
      <c r="AS30" t="str">
        <f t="shared" si="0"/>
        <v>20250500|227-441852-8-8|M441852-8|18/03/2025||01|FB80|0|191526||6|20555901179|MOVIL BUS S.A.C|0|0|0|0|0|0|30|0|0.00|0|30|PEN||01/01/0001||-||-|01/01/0001|0|||||||||0|</v>
      </c>
    </row>
    <row r="31" spans="1:45" ht="15" customHeight="1" x14ac:dyDescent="0.25">
      <c r="A31">
        <v>24</v>
      </c>
      <c r="B31">
        <v>20250500</v>
      </c>
      <c r="C31" t="s">
        <v>292</v>
      </c>
      <c r="D31" t="s">
        <v>293</v>
      </c>
      <c r="E31" s="29" t="s">
        <v>240</v>
      </c>
      <c r="G31" s="29" t="s">
        <v>147</v>
      </c>
      <c r="H31" s="29" t="s">
        <v>294</v>
      </c>
      <c r="I31">
        <v>0</v>
      </c>
      <c r="J31">
        <v>13791</v>
      </c>
      <c r="L31">
        <v>6</v>
      </c>
      <c r="M31" s="29" t="s">
        <v>244</v>
      </c>
      <c r="N31" t="s">
        <v>245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42</v>
      </c>
      <c r="V31">
        <v>0</v>
      </c>
      <c r="W31" s="28" t="s">
        <v>155</v>
      </c>
      <c r="X31">
        <v>0</v>
      </c>
      <c r="Y31">
        <v>42</v>
      </c>
      <c r="Z31" t="s">
        <v>156</v>
      </c>
      <c r="AB31" s="29" t="s">
        <v>142</v>
      </c>
      <c r="AC31" s="29"/>
      <c r="AD31" t="s">
        <v>158</v>
      </c>
      <c r="AF31" t="s">
        <v>158</v>
      </c>
      <c r="AG31" s="29" t="s">
        <v>142</v>
      </c>
      <c r="AH31" s="29" t="s">
        <v>146</v>
      </c>
      <c r="AQ31">
        <v>0</v>
      </c>
      <c r="AS31" t="str">
        <f t="shared" si="0"/>
        <v>20250500|227-441852-9-9|M441852-9|18/03/2025||01|FB89|0|13791||6|20555901179|MOVIL BUS S.A.C|0|0|0|0|0|0|42|0|0.00|0|42|PEN||01/01/0001||-||-|01/01/0001|0|||||||||0|</v>
      </c>
    </row>
    <row r="32" spans="1:45" ht="15" customHeight="1" x14ac:dyDescent="0.25">
      <c r="A32">
        <v>25</v>
      </c>
      <c r="B32">
        <v>20250500</v>
      </c>
      <c r="C32" t="s">
        <v>503</v>
      </c>
      <c r="D32" t="s">
        <v>504</v>
      </c>
      <c r="E32" s="29" t="s">
        <v>178</v>
      </c>
      <c r="G32" s="29" t="s">
        <v>147</v>
      </c>
      <c r="H32" s="29" t="s">
        <v>172</v>
      </c>
      <c r="I32">
        <v>0</v>
      </c>
      <c r="J32">
        <v>5353</v>
      </c>
      <c r="L32">
        <v>6</v>
      </c>
      <c r="M32" s="29" t="s">
        <v>505</v>
      </c>
      <c r="N32" t="s">
        <v>506</v>
      </c>
      <c r="O32">
        <v>0</v>
      </c>
      <c r="P32">
        <v>0</v>
      </c>
      <c r="Q32">
        <v>33.89</v>
      </c>
      <c r="R32">
        <v>6.11</v>
      </c>
      <c r="S32">
        <v>0</v>
      </c>
      <c r="T32">
        <v>0</v>
      </c>
      <c r="U32">
        <v>0</v>
      </c>
      <c r="V32">
        <v>0</v>
      </c>
      <c r="W32" s="28" t="s">
        <v>155</v>
      </c>
      <c r="X32">
        <v>0</v>
      </c>
      <c r="Y32">
        <v>40</v>
      </c>
      <c r="Z32" t="s">
        <v>156</v>
      </c>
      <c r="AB32" s="29" t="s">
        <v>142</v>
      </c>
      <c r="AC32" s="29"/>
      <c r="AD32" t="s">
        <v>158</v>
      </c>
      <c r="AF32" t="s">
        <v>158</v>
      </c>
      <c r="AG32" s="29" t="s">
        <v>142</v>
      </c>
      <c r="AH32" s="29" t="s">
        <v>146</v>
      </c>
      <c r="AQ32">
        <v>6</v>
      </c>
      <c r="AS32" t="str">
        <f t="shared" si="0"/>
        <v>20250500|227-441854-4-4|M441854-4|21/03/2025||01|F002|0|5353||6|20601247870|SUPER CHAO E.I.R.L.|0|0|33.89|6.11|0|0|0|0|0.00|0|40|PEN||01/01/0001||-||-|01/01/0001|0|||||||||6|</v>
      </c>
    </row>
    <row r="33" spans="1:45" ht="15" customHeight="1" x14ac:dyDescent="0.25">
      <c r="A33">
        <v>26</v>
      </c>
      <c r="B33">
        <v>20250500</v>
      </c>
      <c r="C33" t="s">
        <v>326</v>
      </c>
      <c r="D33" t="s">
        <v>327</v>
      </c>
      <c r="E33" s="29" t="s">
        <v>328</v>
      </c>
      <c r="G33" s="29" t="s">
        <v>147</v>
      </c>
      <c r="H33" s="29" t="s">
        <v>329</v>
      </c>
      <c r="I33">
        <v>0</v>
      </c>
      <c r="J33">
        <v>21580</v>
      </c>
      <c r="L33">
        <v>6</v>
      </c>
      <c r="M33" s="29" t="s">
        <v>330</v>
      </c>
      <c r="N33" t="s">
        <v>331</v>
      </c>
      <c r="O33">
        <v>0</v>
      </c>
      <c r="P33">
        <v>0</v>
      </c>
      <c r="Q33">
        <v>58.6</v>
      </c>
      <c r="R33">
        <v>10.54</v>
      </c>
      <c r="S33">
        <v>0</v>
      </c>
      <c r="T33">
        <v>0</v>
      </c>
      <c r="U33">
        <v>0</v>
      </c>
      <c r="V33">
        <v>0</v>
      </c>
      <c r="W33" s="28" t="s">
        <v>155</v>
      </c>
      <c r="X33">
        <v>5.86</v>
      </c>
      <c r="Y33">
        <v>75</v>
      </c>
      <c r="Z33" t="s">
        <v>156</v>
      </c>
      <c r="AB33" s="29" t="s">
        <v>142</v>
      </c>
      <c r="AC33" s="29"/>
      <c r="AD33" t="s">
        <v>158</v>
      </c>
      <c r="AF33" t="s">
        <v>158</v>
      </c>
      <c r="AG33" s="29" t="s">
        <v>142</v>
      </c>
      <c r="AH33" s="29" t="s">
        <v>146</v>
      </c>
      <c r="AQ33">
        <v>6</v>
      </c>
      <c r="AS33" t="str">
        <f t="shared" si="0"/>
        <v>20250500|227-441854-7|M441854-7|22/03/2025||01|FR85|0|21580||6|20505670443|NESSUS HOTELES PERU S.A.|0|0|58.6|10.54|0|0|0|0|0.00|5.86|75|PEN||01/01/0001||-||-|01/01/0001|0|||||||||6|</v>
      </c>
    </row>
    <row r="34" spans="1:45" s="35" customFormat="1" ht="15" customHeight="1" x14ac:dyDescent="0.25">
      <c r="A34">
        <v>27</v>
      </c>
      <c r="B34">
        <v>20250500</v>
      </c>
      <c r="C34" t="s">
        <v>493</v>
      </c>
      <c r="D34" t="s">
        <v>494</v>
      </c>
      <c r="E34" s="29" t="s">
        <v>328</v>
      </c>
      <c r="F34"/>
      <c r="G34" s="29" t="s">
        <v>147</v>
      </c>
      <c r="H34" s="29" t="s">
        <v>329</v>
      </c>
      <c r="I34">
        <v>0</v>
      </c>
      <c r="J34">
        <v>21581</v>
      </c>
      <c r="K34"/>
      <c r="L34">
        <v>6</v>
      </c>
      <c r="M34" s="29" t="s">
        <v>330</v>
      </c>
      <c r="N34" t="s">
        <v>331</v>
      </c>
      <c r="O34">
        <v>0</v>
      </c>
      <c r="P34">
        <v>0</v>
      </c>
      <c r="Q34">
        <v>9.3800000000000008</v>
      </c>
      <c r="R34">
        <v>1.69</v>
      </c>
      <c r="S34">
        <v>0</v>
      </c>
      <c r="T34">
        <v>0</v>
      </c>
      <c r="U34">
        <v>0</v>
      </c>
      <c r="V34">
        <v>0</v>
      </c>
      <c r="W34" s="28" t="s">
        <v>155</v>
      </c>
      <c r="X34">
        <v>0.93</v>
      </c>
      <c r="Y34">
        <v>12</v>
      </c>
      <c r="Z34" t="s">
        <v>156</v>
      </c>
      <c r="AA34"/>
      <c r="AB34" s="29" t="s">
        <v>142</v>
      </c>
      <c r="AC34" s="29"/>
      <c r="AD34" t="s">
        <v>158</v>
      </c>
      <c r="AE34"/>
      <c r="AF34" t="s">
        <v>158</v>
      </c>
      <c r="AG34" s="29" t="s">
        <v>142</v>
      </c>
      <c r="AH34" s="29" t="s">
        <v>146</v>
      </c>
      <c r="AI34"/>
      <c r="AJ34"/>
      <c r="AK34"/>
      <c r="AL34"/>
      <c r="AM34"/>
      <c r="AN34"/>
      <c r="AO34"/>
      <c r="AP34"/>
      <c r="AQ34">
        <v>6</v>
      </c>
      <c r="AR34"/>
      <c r="AS34" t="str">
        <f t="shared" si="0"/>
        <v>20250500|227-441854-9|M441854-9|22/03/2025||01|FR85|0|21581||6|20505670443|NESSUS HOTELES PERU S.A.|0|0|9.38|1.69|0|0|0|0|0.00|0.93|12|PEN||01/01/0001||-||-|01/01/0001|0|||||||||6|</v>
      </c>
    </row>
    <row r="35" spans="1:45" ht="15" customHeight="1" x14ac:dyDescent="0.25">
      <c r="A35">
        <v>28</v>
      </c>
      <c r="B35">
        <v>20250500</v>
      </c>
      <c r="C35" t="s">
        <v>539</v>
      </c>
      <c r="D35" t="s">
        <v>540</v>
      </c>
      <c r="E35" s="29" t="s">
        <v>541</v>
      </c>
      <c r="G35" s="29" t="s">
        <v>147</v>
      </c>
      <c r="H35" s="29" t="s">
        <v>172</v>
      </c>
      <c r="I35">
        <v>0</v>
      </c>
      <c r="J35">
        <v>1730</v>
      </c>
      <c r="L35">
        <v>6</v>
      </c>
      <c r="M35" s="29" t="s">
        <v>542</v>
      </c>
      <c r="N35" t="s">
        <v>543</v>
      </c>
      <c r="O35">
        <v>0</v>
      </c>
      <c r="P35">
        <v>0</v>
      </c>
      <c r="Q35">
        <v>25.42</v>
      </c>
      <c r="R35">
        <v>4.58</v>
      </c>
      <c r="S35">
        <v>0</v>
      </c>
      <c r="T35">
        <v>0</v>
      </c>
      <c r="U35">
        <v>0</v>
      </c>
      <c r="V35">
        <v>0</v>
      </c>
      <c r="W35" s="28" t="s">
        <v>155</v>
      </c>
      <c r="X35">
        <v>0</v>
      </c>
      <c r="Y35">
        <v>30</v>
      </c>
      <c r="Z35" t="s">
        <v>156</v>
      </c>
      <c r="AB35" s="29" t="s">
        <v>142</v>
      </c>
      <c r="AC35" s="29"/>
      <c r="AD35" t="s">
        <v>158</v>
      </c>
      <c r="AF35" t="s">
        <v>158</v>
      </c>
      <c r="AG35" s="29" t="s">
        <v>142</v>
      </c>
      <c r="AH35" s="29" t="s">
        <v>146</v>
      </c>
      <c r="AQ35">
        <v>6</v>
      </c>
      <c r="AS35" t="str">
        <f t="shared" si="0"/>
        <v>20250500|227-441855-1-1|M441855-1|23/03/2025||01|F002|0|1730||6|20607796590|RESTAURANTE POLLERIA BRASAMAR SOCIEDAD ANONIMA CERRADA|0|0|25.42|4.58|0|0|0|0|0.00|0|30|PEN||01/01/0001||-||-|01/01/0001|0|||||||||6|</v>
      </c>
    </row>
    <row r="36" spans="1:45" ht="15" customHeight="1" x14ac:dyDescent="0.25">
      <c r="A36">
        <v>29</v>
      </c>
      <c r="B36">
        <v>20250500</v>
      </c>
      <c r="C36" t="s">
        <v>537</v>
      </c>
      <c r="D36" t="s">
        <v>538</v>
      </c>
      <c r="E36" s="29" t="s">
        <v>328</v>
      </c>
      <c r="G36" s="29" t="s">
        <v>147</v>
      </c>
      <c r="H36" s="29" t="s">
        <v>159</v>
      </c>
      <c r="I36">
        <v>0</v>
      </c>
      <c r="J36">
        <v>31</v>
      </c>
      <c r="L36">
        <v>6</v>
      </c>
      <c r="M36" s="29" t="s">
        <v>370</v>
      </c>
      <c r="N36" t="s">
        <v>371</v>
      </c>
      <c r="O36">
        <v>0</v>
      </c>
      <c r="P36">
        <v>0</v>
      </c>
      <c r="Q36">
        <v>50.85</v>
      </c>
      <c r="R36">
        <v>9.15</v>
      </c>
      <c r="S36">
        <v>0</v>
      </c>
      <c r="T36">
        <v>0</v>
      </c>
      <c r="U36">
        <v>0</v>
      </c>
      <c r="V36">
        <v>0</v>
      </c>
      <c r="W36" s="28" t="s">
        <v>155</v>
      </c>
      <c r="X36">
        <v>0</v>
      </c>
      <c r="Y36">
        <v>60</v>
      </c>
      <c r="Z36" t="s">
        <v>156</v>
      </c>
      <c r="AB36" s="29" t="s">
        <v>142</v>
      </c>
      <c r="AC36" s="29"/>
      <c r="AD36" t="s">
        <v>158</v>
      </c>
      <c r="AF36" t="s">
        <v>158</v>
      </c>
      <c r="AG36" s="29" t="s">
        <v>142</v>
      </c>
      <c r="AH36" s="29" t="s">
        <v>146</v>
      </c>
      <c r="AQ36">
        <v>6</v>
      </c>
      <c r="AS36" t="str">
        <f t="shared" si="0"/>
        <v>20250500|227-441855-13|M441855-13|22/03/2025||01|E001|0|31||6|20612936511|CALOTODI S.A.C.|0|0|50.85|9.15|0|0|0|0|0.00|0|60|PEN||01/01/0001||-||-|01/01/0001|0|||||||||6|</v>
      </c>
    </row>
    <row r="37" spans="1:45" ht="15" customHeight="1" x14ac:dyDescent="0.25">
      <c r="A37">
        <v>30</v>
      </c>
      <c r="B37">
        <v>20250500</v>
      </c>
      <c r="C37" t="s">
        <v>368</v>
      </c>
      <c r="D37" t="s">
        <v>369</v>
      </c>
      <c r="E37" s="29" t="s">
        <v>233</v>
      </c>
      <c r="G37" s="29" t="s">
        <v>147</v>
      </c>
      <c r="H37" s="29" t="s">
        <v>159</v>
      </c>
      <c r="I37">
        <v>0</v>
      </c>
      <c r="J37">
        <v>33</v>
      </c>
      <c r="L37">
        <v>6</v>
      </c>
      <c r="M37" s="29" t="s">
        <v>370</v>
      </c>
      <c r="N37" t="s">
        <v>371</v>
      </c>
      <c r="O37">
        <v>0</v>
      </c>
      <c r="P37">
        <v>0</v>
      </c>
      <c r="Q37">
        <v>50.85</v>
      </c>
      <c r="R37">
        <v>9.15</v>
      </c>
      <c r="S37">
        <v>0</v>
      </c>
      <c r="T37">
        <v>0</v>
      </c>
      <c r="U37">
        <v>0</v>
      </c>
      <c r="V37">
        <v>0</v>
      </c>
      <c r="W37" s="28" t="s">
        <v>155</v>
      </c>
      <c r="X37">
        <v>0</v>
      </c>
      <c r="Y37">
        <v>60</v>
      </c>
      <c r="Z37" t="s">
        <v>156</v>
      </c>
      <c r="AB37" s="29" t="s">
        <v>142</v>
      </c>
      <c r="AC37" s="29"/>
      <c r="AD37" t="s">
        <v>158</v>
      </c>
      <c r="AF37" t="s">
        <v>158</v>
      </c>
      <c r="AG37" s="29" t="s">
        <v>142</v>
      </c>
      <c r="AH37" s="29" t="s">
        <v>146</v>
      </c>
      <c r="AQ37">
        <v>6</v>
      </c>
      <c r="AS37" t="str">
        <f t="shared" si="0"/>
        <v>20250500|227-441855-14|M441855-14|24/03/2025||01|E001|0|33||6|20612936511|CALOTODI S.A.C.|0|0|50.85|9.15|0|0|0|0|0.00|0|60|PEN||01/01/0001||-||-|01/01/0001|0|||||||||6|</v>
      </c>
    </row>
    <row r="38" spans="1:45" ht="15" customHeight="1" x14ac:dyDescent="0.25">
      <c r="A38">
        <v>31</v>
      </c>
      <c r="B38">
        <v>20250500</v>
      </c>
      <c r="C38" t="s">
        <v>429</v>
      </c>
      <c r="D38" t="s">
        <v>430</v>
      </c>
      <c r="E38" s="29" t="s">
        <v>205</v>
      </c>
      <c r="G38" s="29" t="s">
        <v>147</v>
      </c>
      <c r="H38" s="29" t="s">
        <v>159</v>
      </c>
      <c r="I38">
        <v>0</v>
      </c>
      <c r="J38">
        <v>954</v>
      </c>
      <c r="L38">
        <v>6</v>
      </c>
      <c r="M38" s="29" t="s">
        <v>317</v>
      </c>
      <c r="N38" t="s">
        <v>318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120</v>
      </c>
      <c r="V38">
        <v>0</v>
      </c>
      <c r="W38" s="28" t="s">
        <v>155</v>
      </c>
      <c r="X38">
        <v>0</v>
      </c>
      <c r="Y38">
        <v>120</v>
      </c>
      <c r="Z38" t="s">
        <v>156</v>
      </c>
      <c r="AB38" s="29" t="s">
        <v>142</v>
      </c>
      <c r="AC38" s="29"/>
      <c r="AD38" t="s">
        <v>158</v>
      </c>
      <c r="AF38" t="s">
        <v>158</v>
      </c>
      <c r="AG38" s="29" t="s">
        <v>142</v>
      </c>
      <c r="AH38" s="29" t="s">
        <v>146</v>
      </c>
      <c r="AQ38">
        <v>0</v>
      </c>
      <c r="AS38" t="str">
        <f t="shared" si="0"/>
        <v>20250500|227-441856-14|M441856-14|27/03/2025||01|E001|0|954||6|10436498638|MACAHUACHI PICON ERICK LUIS|0|0|0|0|0|0|120|0|0.00|0|120|PEN||01/01/0001||-||-|01/01/0001|0|||||||||0|</v>
      </c>
    </row>
    <row r="39" spans="1:45" ht="15" customHeight="1" x14ac:dyDescent="0.25">
      <c r="A39">
        <v>32</v>
      </c>
      <c r="B39">
        <v>20250500</v>
      </c>
      <c r="C39" t="s">
        <v>544</v>
      </c>
      <c r="D39" t="s">
        <v>545</v>
      </c>
      <c r="E39" s="29" t="s">
        <v>171</v>
      </c>
      <c r="G39" s="29" t="s">
        <v>147</v>
      </c>
      <c r="H39" s="29" t="s">
        <v>217</v>
      </c>
      <c r="I39">
        <v>0</v>
      </c>
      <c r="J39">
        <v>2194</v>
      </c>
      <c r="L39">
        <v>6</v>
      </c>
      <c r="M39" s="29" t="s">
        <v>405</v>
      </c>
      <c r="N39" t="s">
        <v>406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105.7</v>
      </c>
      <c r="V39">
        <v>0</v>
      </c>
      <c r="W39" s="28" t="s">
        <v>155</v>
      </c>
      <c r="X39">
        <v>0</v>
      </c>
      <c r="Y39">
        <v>105.7</v>
      </c>
      <c r="Z39" t="s">
        <v>156</v>
      </c>
      <c r="AB39" s="29" t="s">
        <v>142</v>
      </c>
      <c r="AC39" s="29"/>
      <c r="AD39" t="s">
        <v>158</v>
      </c>
      <c r="AF39" t="s">
        <v>158</v>
      </c>
      <c r="AG39" s="29" t="s">
        <v>142</v>
      </c>
      <c r="AH39" s="29" t="s">
        <v>146</v>
      </c>
      <c r="AQ39">
        <v>0</v>
      </c>
      <c r="AS39" t="str">
        <f t="shared" si="0"/>
        <v>20250500|227-441856-15-15|M441856-15|26/03/2025||01|FT01|0|2194||6|20607571211|IQUITOS PRODUCE EMPRESA INDIVIDUAL DE RESPONSABILIDAD LIMITA|0|0|0|0|0|0|105.7|0|0.00|0|105.7|PEN||01/01/0001||-||-|01/01/0001|0|||||||||0|</v>
      </c>
    </row>
    <row r="40" spans="1:45" ht="15" customHeight="1" x14ac:dyDescent="0.25">
      <c r="A40">
        <v>33</v>
      </c>
      <c r="B40">
        <v>20250500</v>
      </c>
      <c r="C40" t="s">
        <v>362</v>
      </c>
      <c r="D40" t="s">
        <v>363</v>
      </c>
      <c r="E40" s="29" t="s">
        <v>205</v>
      </c>
      <c r="G40" s="29" t="s">
        <v>147</v>
      </c>
      <c r="H40" s="29" t="s">
        <v>159</v>
      </c>
      <c r="I40">
        <v>0</v>
      </c>
      <c r="J40">
        <v>4632</v>
      </c>
      <c r="L40">
        <v>6</v>
      </c>
      <c r="M40" s="29" t="s">
        <v>206</v>
      </c>
      <c r="N40" t="s">
        <v>207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120</v>
      </c>
      <c r="V40">
        <v>0</v>
      </c>
      <c r="W40" s="28" t="s">
        <v>155</v>
      </c>
      <c r="X40">
        <v>0</v>
      </c>
      <c r="Y40">
        <v>120</v>
      </c>
      <c r="Z40" t="s">
        <v>156</v>
      </c>
      <c r="AB40" s="29" t="s">
        <v>142</v>
      </c>
      <c r="AC40" s="29"/>
      <c r="AD40" t="s">
        <v>158</v>
      </c>
      <c r="AF40" t="s">
        <v>158</v>
      </c>
      <c r="AG40" s="29" t="s">
        <v>142</v>
      </c>
      <c r="AH40" s="29" t="s">
        <v>146</v>
      </c>
      <c r="AQ40">
        <v>0</v>
      </c>
      <c r="AS40" t="str">
        <f t="shared" si="0"/>
        <v>20250500|227-441856-2-2|M441856-2|27/03/2025||01|E001|0|4632||6|20541289594|GRAN HOSTAL SUPER STAR S.A.C.           |0|0|0|0|0|0|120|0|0.00|0|120|PEN||01/01/0001||-||-|01/01/0001|0|||||||||0|</v>
      </c>
    </row>
    <row r="41" spans="1:45" s="35" customFormat="1" ht="15" customHeight="1" x14ac:dyDescent="0.25">
      <c r="A41">
        <v>34</v>
      </c>
      <c r="B41">
        <v>20250500</v>
      </c>
      <c r="C41" t="s">
        <v>441</v>
      </c>
      <c r="D41" t="s">
        <v>442</v>
      </c>
      <c r="E41" s="29" t="s">
        <v>171</v>
      </c>
      <c r="F41"/>
      <c r="G41" s="29" t="s">
        <v>147</v>
      </c>
      <c r="H41" s="29" t="s">
        <v>159</v>
      </c>
      <c r="I41">
        <v>0</v>
      </c>
      <c r="J41">
        <v>2727</v>
      </c>
      <c r="K41"/>
      <c r="L41">
        <v>6</v>
      </c>
      <c r="M41" s="29" t="s">
        <v>334</v>
      </c>
      <c r="N41" t="s">
        <v>335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200</v>
      </c>
      <c r="V41">
        <v>0</v>
      </c>
      <c r="W41" s="28" t="s">
        <v>155</v>
      </c>
      <c r="X41">
        <v>0</v>
      </c>
      <c r="Y41">
        <v>200</v>
      </c>
      <c r="Z41" t="s">
        <v>156</v>
      </c>
      <c r="AA41"/>
      <c r="AB41" s="29" t="s">
        <v>142</v>
      </c>
      <c r="AC41" s="29"/>
      <c r="AD41" t="s">
        <v>158</v>
      </c>
      <c r="AE41"/>
      <c r="AF41" t="s">
        <v>158</v>
      </c>
      <c r="AG41" s="29" t="s">
        <v>142</v>
      </c>
      <c r="AH41" s="29" t="s">
        <v>146</v>
      </c>
      <c r="AI41"/>
      <c r="AJ41"/>
      <c r="AK41"/>
      <c r="AL41"/>
      <c r="AM41"/>
      <c r="AN41"/>
      <c r="AO41"/>
      <c r="AP41"/>
      <c r="AQ41">
        <v>0</v>
      </c>
      <c r="AR41"/>
      <c r="AS41" t="str">
        <f t="shared" si="0"/>
        <v>20250500|227-441856-3-3|M441856-3|26/03/2025||01|E001|0|2727||6|20611477636|HOTEL YAQUERANA E.I.R.L.|0|0|0|0|0|0|200|0|0.00|0|200|PEN||01/01/0001||-||-|01/01/0001|0|||||||||0|</v>
      </c>
    </row>
    <row r="42" spans="1:45" ht="15" customHeight="1" x14ac:dyDescent="0.25">
      <c r="A42">
        <v>35</v>
      </c>
      <c r="B42">
        <v>20250500</v>
      </c>
      <c r="C42" t="s">
        <v>366</v>
      </c>
      <c r="D42" t="s">
        <v>367</v>
      </c>
      <c r="E42" s="29" t="s">
        <v>222</v>
      </c>
      <c r="G42" s="29" t="s">
        <v>147</v>
      </c>
      <c r="H42" s="29" t="s">
        <v>167</v>
      </c>
      <c r="I42">
        <v>0</v>
      </c>
      <c r="J42">
        <v>4069</v>
      </c>
      <c r="L42">
        <v>6</v>
      </c>
      <c r="M42" s="29" t="s">
        <v>223</v>
      </c>
      <c r="N42" t="s">
        <v>224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33</v>
      </c>
      <c r="V42">
        <v>0</v>
      </c>
      <c r="W42" s="28" t="s">
        <v>155</v>
      </c>
      <c r="X42">
        <v>0</v>
      </c>
      <c r="Y42">
        <v>33</v>
      </c>
      <c r="Z42" t="s">
        <v>156</v>
      </c>
      <c r="AB42" s="29" t="s">
        <v>142</v>
      </c>
      <c r="AC42" s="29"/>
      <c r="AD42" t="s">
        <v>158</v>
      </c>
      <c r="AF42" t="s">
        <v>158</v>
      </c>
      <c r="AG42" s="29" t="s">
        <v>142</v>
      </c>
      <c r="AH42" s="29" t="s">
        <v>146</v>
      </c>
      <c r="AQ42">
        <v>0</v>
      </c>
      <c r="AS42" t="str">
        <f t="shared" si="0"/>
        <v>20250500|227-441856-4-4|M441856-4|28/03/2025||01|F003|0|4069||6|20528433911|IVALU REFRIGERIOS SOCIEDAD COMERCIAL DE RESPONSABILIDAD LIMI|0|0|0|0|0|0|33|0|0.00|0|33|PEN||01/01/0001||-||-|01/01/0001|0|||||||||0|</v>
      </c>
    </row>
    <row r="43" spans="1:45" ht="15" customHeight="1" x14ac:dyDescent="0.25">
      <c r="A43">
        <v>36</v>
      </c>
      <c r="B43">
        <v>20250500</v>
      </c>
      <c r="C43" t="s">
        <v>372</v>
      </c>
      <c r="D43" t="s">
        <v>373</v>
      </c>
      <c r="E43" s="29" t="s">
        <v>171</v>
      </c>
      <c r="G43" s="29" t="s">
        <v>147</v>
      </c>
      <c r="H43" s="29" t="s">
        <v>159</v>
      </c>
      <c r="I43">
        <v>0</v>
      </c>
      <c r="J43">
        <v>94</v>
      </c>
      <c r="L43">
        <v>6</v>
      </c>
      <c r="M43" s="29" t="s">
        <v>279</v>
      </c>
      <c r="N43" t="s">
        <v>280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60</v>
      </c>
      <c r="V43">
        <v>0</v>
      </c>
      <c r="W43" s="28" t="s">
        <v>155</v>
      </c>
      <c r="X43">
        <v>0</v>
      </c>
      <c r="Y43">
        <v>60</v>
      </c>
      <c r="Z43" t="s">
        <v>156</v>
      </c>
      <c r="AB43" s="29" t="s">
        <v>142</v>
      </c>
      <c r="AC43" s="29"/>
      <c r="AD43" t="s">
        <v>158</v>
      </c>
      <c r="AF43" t="s">
        <v>158</v>
      </c>
      <c r="AG43" s="29" t="s">
        <v>142</v>
      </c>
      <c r="AH43" s="29" t="s">
        <v>146</v>
      </c>
      <c r="AQ43">
        <v>0</v>
      </c>
      <c r="AS43" t="str">
        <f t="shared" si="0"/>
        <v>20250500|227-441856-6|M441856-6|26/03/2025||01|E001|0|94||6|20601644020|F &amp; H CONSTRUCCIONES INGENIEROS S.A.C.|0|0|0|0|0|0|60|0|0.00|0|60|PEN||01/01/0001||-||-|01/01/0001|0|||||||||0|</v>
      </c>
    </row>
    <row r="44" spans="1:45" ht="15" customHeight="1" x14ac:dyDescent="0.25">
      <c r="A44">
        <v>37</v>
      </c>
      <c r="B44">
        <v>20250500</v>
      </c>
      <c r="C44" t="s">
        <v>485</v>
      </c>
      <c r="D44" t="s">
        <v>486</v>
      </c>
      <c r="E44" s="29" t="s">
        <v>222</v>
      </c>
      <c r="G44" s="29" t="s">
        <v>147</v>
      </c>
      <c r="H44" s="29" t="s">
        <v>159</v>
      </c>
      <c r="I44">
        <v>0</v>
      </c>
      <c r="J44">
        <v>95</v>
      </c>
      <c r="L44">
        <v>6</v>
      </c>
      <c r="M44" s="29" t="s">
        <v>279</v>
      </c>
      <c r="N44" t="s">
        <v>280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60</v>
      </c>
      <c r="V44">
        <v>0</v>
      </c>
      <c r="W44" s="28" t="s">
        <v>155</v>
      </c>
      <c r="X44">
        <v>0</v>
      </c>
      <c r="Y44">
        <v>60</v>
      </c>
      <c r="Z44" t="s">
        <v>156</v>
      </c>
      <c r="AB44" s="29" t="s">
        <v>142</v>
      </c>
      <c r="AC44" s="29"/>
      <c r="AD44" t="s">
        <v>158</v>
      </c>
      <c r="AF44" t="s">
        <v>158</v>
      </c>
      <c r="AG44" s="29" t="s">
        <v>142</v>
      </c>
      <c r="AH44" s="29" t="s">
        <v>146</v>
      </c>
      <c r="AQ44">
        <v>0</v>
      </c>
      <c r="AS44" t="str">
        <f t="shared" si="0"/>
        <v>20250500|227-441856-7-7|M441856-7|28/03/2025||01|E001|0|95||6|20601644020|F &amp; H CONSTRUCCIONES INGENIEROS S.A.C.|0|0|0|0|0|0|60|0|0.00|0|60|PEN||01/01/0001||-||-|01/01/0001|0|||||||||0|</v>
      </c>
    </row>
    <row r="45" spans="1:45" ht="15" customHeight="1" x14ac:dyDescent="0.25">
      <c r="A45">
        <v>38</v>
      </c>
      <c r="B45">
        <v>20250500</v>
      </c>
      <c r="C45" t="s">
        <v>443</v>
      </c>
      <c r="D45" t="s">
        <v>444</v>
      </c>
      <c r="E45" s="29" t="s">
        <v>171</v>
      </c>
      <c r="G45" s="29" t="s">
        <v>147</v>
      </c>
      <c r="H45" s="29" t="s">
        <v>234</v>
      </c>
      <c r="I45">
        <v>0</v>
      </c>
      <c r="J45">
        <v>33175</v>
      </c>
      <c r="L45">
        <v>6</v>
      </c>
      <c r="M45" s="29" t="s">
        <v>193</v>
      </c>
      <c r="N45" t="s">
        <v>194</v>
      </c>
      <c r="O45">
        <v>0</v>
      </c>
      <c r="P45">
        <v>0</v>
      </c>
      <c r="Q45">
        <v>19.489999999999998</v>
      </c>
      <c r="R45">
        <v>3.51</v>
      </c>
      <c r="S45">
        <v>0</v>
      </c>
      <c r="T45">
        <v>0</v>
      </c>
      <c r="U45">
        <v>0</v>
      </c>
      <c r="V45">
        <v>0</v>
      </c>
      <c r="W45" s="28" t="s">
        <v>155</v>
      </c>
      <c r="X45">
        <v>0</v>
      </c>
      <c r="Y45">
        <v>23</v>
      </c>
      <c r="Z45" t="s">
        <v>156</v>
      </c>
      <c r="AB45" s="29" t="s">
        <v>142</v>
      </c>
      <c r="AC45" s="29"/>
      <c r="AD45" t="s">
        <v>158</v>
      </c>
      <c r="AF45" t="s">
        <v>158</v>
      </c>
      <c r="AG45" s="29" t="s">
        <v>142</v>
      </c>
      <c r="AH45" s="29" t="s">
        <v>146</v>
      </c>
      <c r="AQ45">
        <v>6</v>
      </c>
      <c r="AS45" t="str">
        <f t="shared" si="0"/>
        <v>20250500|227-441856-9-9|M441856-9|26/03/2025||01|F014|0|33175||6|20507661441|SURGOURMET SOCIEDAD ANONIMA CERRADA|0|0|19.49|3.51|0|0|0|0|0.00|0|23|PEN||01/01/0001||-||-|01/01/0001|0|||||||||6|</v>
      </c>
    </row>
    <row r="46" spans="1:45" ht="15" customHeight="1" x14ac:dyDescent="0.25">
      <c r="A46">
        <v>39</v>
      </c>
      <c r="B46">
        <v>20250500</v>
      </c>
      <c r="C46" t="s">
        <v>401</v>
      </c>
      <c r="D46" t="s">
        <v>402</v>
      </c>
      <c r="E46" s="29" t="s">
        <v>162</v>
      </c>
      <c r="G46" s="29" t="s">
        <v>147</v>
      </c>
      <c r="H46" s="29" t="s">
        <v>159</v>
      </c>
      <c r="I46">
        <v>0</v>
      </c>
      <c r="J46">
        <v>114</v>
      </c>
      <c r="L46">
        <v>6</v>
      </c>
      <c r="M46" s="29" t="s">
        <v>263</v>
      </c>
      <c r="N46" t="s">
        <v>264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50</v>
      </c>
      <c r="V46">
        <v>0</v>
      </c>
      <c r="W46" s="28" t="s">
        <v>155</v>
      </c>
      <c r="X46">
        <v>0</v>
      </c>
      <c r="Y46">
        <v>50</v>
      </c>
      <c r="Z46" t="s">
        <v>156</v>
      </c>
      <c r="AB46" s="29" t="s">
        <v>142</v>
      </c>
      <c r="AC46" s="29"/>
      <c r="AD46" t="s">
        <v>158</v>
      </c>
      <c r="AF46" t="s">
        <v>158</v>
      </c>
      <c r="AG46" s="29" t="s">
        <v>142</v>
      </c>
      <c r="AH46" s="29" t="s">
        <v>146</v>
      </c>
      <c r="AQ46">
        <v>0</v>
      </c>
      <c r="AS46" t="str">
        <f t="shared" si="0"/>
        <v>20250500|227-441860-11-11|M441860-11|09/04/2025||01|E001|0|114||6|20607250651|TOURS TAMBO LA MAR VRAEM S.A.|0|0|0|0|0|0|50|0|0.00|0|50|PEN||01/01/0001||-||-|01/01/0001|0|||||||||0|</v>
      </c>
    </row>
    <row r="47" spans="1:45" ht="15" customHeight="1" x14ac:dyDescent="0.25">
      <c r="A47">
        <v>40</v>
      </c>
      <c r="B47">
        <v>20250500</v>
      </c>
      <c r="C47" t="s">
        <v>533</v>
      </c>
      <c r="D47" t="s">
        <v>534</v>
      </c>
      <c r="E47" s="29" t="s">
        <v>162</v>
      </c>
      <c r="G47" s="29" t="s">
        <v>147</v>
      </c>
      <c r="H47" s="29" t="s">
        <v>281</v>
      </c>
      <c r="I47">
        <v>0</v>
      </c>
      <c r="J47">
        <v>2395</v>
      </c>
      <c r="L47">
        <v>6</v>
      </c>
      <c r="M47" s="29" t="s">
        <v>535</v>
      </c>
      <c r="N47" t="s">
        <v>536</v>
      </c>
      <c r="O47">
        <v>0</v>
      </c>
      <c r="P47">
        <v>0</v>
      </c>
      <c r="Q47">
        <v>25.33</v>
      </c>
      <c r="R47">
        <v>4.5599999999999996</v>
      </c>
      <c r="S47">
        <v>0</v>
      </c>
      <c r="T47">
        <v>0</v>
      </c>
      <c r="U47">
        <v>0</v>
      </c>
      <c r="V47">
        <v>0</v>
      </c>
      <c r="W47" s="28" t="s">
        <v>155</v>
      </c>
      <c r="X47">
        <v>2.5099999999999998</v>
      </c>
      <c r="Y47">
        <v>32.4</v>
      </c>
      <c r="Z47" t="s">
        <v>156</v>
      </c>
      <c r="AB47" s="29" t="s">
        <v>142</v>
      </c>
      <c r="AC47" s="29"/>
      <c r="AD47" t="s">
        <v>158</v>
      </c>
      <c r="AF47" t="s">
        <v>158</v>
      </c>
      <c r="AG47" s="29" t="s">
        <v>142</v>
      </c>
      <c r="AH47" s="29" t="s">
        <v>146</v>
      </c>
      <c r="AQ47">
        <v>6</v>
      </c>
      <c r="AS47" t="str">
        <f t="shared" si="0"/>
        <v>20250500|227-441860-2|M441860-2|09/04/2025||01|F503|0|2395||6|20511414408|INVERSIONES DT 1 S.A.C.|0|0|25.33|4.56|0|0|0|0|0.00|2.51|32.4|PEN||01/01/0001||-||-|01/01/0001|0|||||||||6|</v>
      </c>
    </row>
    <row r="48" spans="1:45" ht="15" customHeight="1" x14ac:dyDescent="0.25">
      <c r="A48">
        <v>41</v>
      </c>
      <c r="B48">
        <v>20250500</v>
      </c>
      <c r="C48" t="s">
        <v>435</v>
      </c>
      <c r="D48" t="s">
        <v>436</v>
      </c>
      <c r="E48" s="29" t="s">
        <v>210</v>
      </c>
      <c r="G48" s="29" t="s">
        <v>147</v>
      </c>
      <c r="H48" s="29" t="s">
        <v>211</v>
      </c>
      <c r="I48">
        <v>0</v>
      </c>
      <c r="J48">
        <v>6348</v>
      </c>
      <c r="L48">
        <v>6</v>
      </c>
      <c r="M48" s="29" t="s">
        <v>212</v>
      </c>
      <c r="N48" t="s">
        <v>213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</v>
      </c>
      <c r="V48">
        <v>0</v>
      </c>
      <c r="W48" s="28" t="s">
        <v>155</v>
      </c>
      <c r="X48">
        <v>0</v>
      </c>
      <c r="Y48">
        <v>8</v>
      </c>
      <c r="Z48" t="s">
        <v>156</v>
      </c>
      <c r="AB48" s="29" t="s">
        <v>142</v>
      </c>
      <c r="AC48" s="29"/>
      <c r="AD48" t="s">
        <v>158</v>
      </c>
      <c r="AF48" t="s">
        <v>158</v>
      </c>
      <c r="AG48" s="29" t="s">
        <v>142</v>
      </c>
      <c r="AH48" s="29" t="s">
        <v>146</v>
      </c>
      <c r="AQ48">
        <v>0</v>
      </c>
      <c r="AS48" t="str">
        <f t="shared" si="0"/>
        <v>20250500|227-441862-5-5|M441862-5|16/04/2025||01|F328|0|6348||6|20602221505|ZBUSS S.A.C|0|0|0|0|0|0|8|0|0.00|0|8|PEN||01/01/0001||-||-|01/01/0001|0|||||||||0|</v>
      </c>
    </row>
    <row r="49" spans="1:45" ht="15" customHeight="1" x14ac:dyDescent="0.25">
      <c r="A49">
        <v>42</v>
      </c>
      <c r="B49">
        <v>20250500</v>
      </c>
      <c r="C49" t="s">
        <v>364</v>
      </c>
      <c r="D49" t="s">
        <v>365</v>
      </c>
      <c r="E49" s="29" t="s">
        <v>210</v>
      </c>
      <c r="G49" s="29" t="s">
        <v>147</v>
      </c>
      <c r="H49" s="29" t="s">
        <v>267</v>
      </c>
      <c r="I49">
        <v>0</v>
      </c>
      <c r="J49">
        <v>14271</v>
      </c>
      <c r="L49">
        <v>6</v>
      </c>
      <c r="M49" s="29" t="s">
        <v>212</v>
      </c>
      <c r="N49" t="s">
        <v>213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</v>
      </c>
      <c r="V49">
        <v>0</v>
      </c>
      <c r="W49" s="28" t="s">
        <v>155</v>
      </c>
      <c r="X49">
        <v>0</v>
      </c>
      <c r="Y49">
        <v>8</v>
      </c>
      <c r="Z49" t="s">
        <v>156</v>
      </c>
      <c r="AB49" s="29" t="s">
        <v>142</v>
      </c>
      <c r="AC49" s="29"/>
      <c r="AD49" t="s">
        <v>158</v>
      </c>
      <c r="AF49" t="s">
        <v>158</v>
      </c>
      <c r="AG49" s="29" t="s">
        <v>142</v>
      </c>
      <c r="AH49" s="29" t="s">
        <v>146</v>
      </c>
      <c r="AQ49">
        <v>0</v>
      </c>
      <c r="AS49" t="str">
        <f t="shared" si="0"/>
        <v>20250500|227-441862-6-6|M441862-6|16/04/2025||01|F337|0|14271||6|20602221505|ZBUSS S.A.C|0|0|0|0|0|0|8|0|0.00|0|8|PEN||01/01/0001||-||-|01/01/0001|0|||||||||0|</v>
      </c>
    </row>
    <row r="50" spans="1:45" s="35" customFormat="1" ht="15" customHeight="1" x14ac:dyDescent="0.25">
      <c r="A50">
        <v>43</v>
      </c>
      <c r="B50">
        <v>20250500</v>
      </c>
      <c r="C50" t="s">
        <v>336</v>
      </c>
      <c r="D50" t="s">
        <v>337</v>
      </c>
      <c r="E50" s="29" t="s">
        <v>174</v>
      </c>
      <c r="F50"/>
      <c r="G50" s="29" t="s">
        <v>147</v>
      </c>
      <c r="H50" s="29" t="s">
        <v>159</v>
      </c>
      <c r="I50">
        <v>0</v>
      </c>
      <c r="J50">
        <v>1723</v>
      </c>
      <c r="K50"/>
      <c r="L50">
        <v>6</v>
      </c>
      <c r="M50" s="29" t="s">
        <v>338</v>
      </c>
      <c r="N50" t="s">
        <v>339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30</v>
      </c>
      <c r="V50">
        <v>0</v>
      </c>
      <c r="W50" s="28" t="s">
        <v>155</v>
      </c>
      <c r="X50">
        <v>0</v>
      </c>
      <c r="Y50">
        <v>30</v>
      </c>
      <c r="Z50" t="s">
        <v>156</v>
      </c>
      <c r="AA50"/>
      <c r="AB50" s="29" t="s">
        <v>142</v>
      </c>
      <c r="AC50" s="29"/>
      <c r="AD50" t="s">
        <v>158</v>
      </c>
      <c r="AE50"/>
      <c r="AF50" t="s">
        <v>158</v>
      </c>
      <c r="AG50" s="29" t="s">
        <v>142</v>
      </c>
      <c r="AH50" s="29" t="s">
        <v>146</v>
      </c>
      <c r="AI50"/>
      <c r="AJ50"/>
      <c r="AK50"/>
      <c r="AL50"/>
      <c r="AM50"/>
      <c r="AN50"/>
      <c r="AO50"/>
      <c r="AP50"/>
      <c r="AQ50">
        <v>0</v>
      </c>
      <c r="AR50"/>
      <c r="AS50" t="str">
        <f t="shared" si="0"/>
        <v>20250500|227-441863-13-13|M441863-13|02/04/2025||01|E001|0|1723||6|10486824986|VALERIO GOMEZ MICHELL STEVEN|0|0|0|0|0|0|30|0|0.00|0|30|PEN||01/01/0001||-||-|01/01/0001|0|||||||||0|</v>
      </c>
    </row>
    <row r="51" spans="1:45" s="35" customFormat="1" ht="15" customHeight="1" x14ac:dyDescent="0.25">
      <c r="A51">
        <v>44</v>
      </c>
      <c r="B51">
        <v>20250500</v>
      </c>
      <c r="C51" t="s">
        <v>407</v>
      </c>
      <c r="D51" t="s">
        <v>408</v>
      </c>
      <c r="E51" s="29" t="s">
        <v>174</v>
      </c>
      <c r="F51"/>
      <c r="G51" s="29" t="s">
        <v>147</v>
      </c>
      <c r="H51" s="29" t="s">
        <v>159</v>
      </c>
      <c r="I51">
        <v>0</v>
      </c>
      <c r="J51">
        <v>1729</v>
      </c>
      <c r="K51"/>
      <c r="L51">
        <v>6</v>
      </c>
      <c r="M51" s="29" t="s">
        <v>338</v>
      </c>
      <c r="N51" t="s">
        <v>339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60</v>
      </c>
      <c r="V51">
        <v>0</v>
      </c>
      <c r="W51" s="28" t="s">
        <v>155</v>
      </c>
      <c r="X51">
        <v>0</v>
      </c>
      <c r="Y51">
        <v>60</v>
      </c>
      <c r="Z51" t="s">
        <v>156</v>
      </c>
      <c r="AA51"/>
      <c r="AB51" s="29" t="s">
        <v>142</v>
      </c>
      <c r="AC51" s="29"/>
      <c r="AD51" t="s">
        <v>158</v>
      </c>
      <c r="AE51"/>
      <c r="AF51" t="s">
        <v>158</v>
      </c>
      <c r="AG51" s="29" t="s">
        <v>142</v>
      </c>
      <c r="AH51" s="29" t="s">
        <v>146</v>
      </c>
      <c r="AI51"/>
      <c r="AJ51"/>
      <c r="AK51"/>
      <c r="AL51"/>
      <c r="AM51"/>
      <c r="AN51"/>
      <c r="AO51"/>
      <c r="AP51"/>
      <c r="AQ51">
        <v>0</v>
      </c>
      <c r="AR51"/>
      <c r="AS51" t="str">
        <f t="shared" si="0"/>
        <v>20250500|227-441863-14-14|M441863-14|02/04/2025||01|E001|0|1729||6|10486824986|VALERIO GOMEZ MICHELL STEVEN|0|0|0|0|0|0|60|0|0.00|0|60|PEN||01/01/0001||-||-|01/01/0001|0|||||||||0|</v>
      </c>
    </row>
    <row r="52" spans="1:45" s="35" customFormat="1" ht="15" customHeight="1" x14ac:dyDescent="0.25">
      <c r="A52">
        <v>45</v>
      </c>
      <c r="B52">
        <v>20250500</v>
      </c>
      <c r="C52" t="s">
        <v>417</v>
      </c>
      <c r="D52" t="s">
        <v>418</v>
      </c>
      <c r="E52" s="29" t="s">
        <v>262</v>
      </c>
      <c r="F52"/>
      <c r="G52" s="29" t="s">
        <v>147</v>
      </c>
      <c r="H52" s="29" t="s">
        <v>159</v>
      </c>
      <c r="I52">
        <v>0</v>
      </c>
      <c r="J52">
        <v>1730</v>
      </c>
      <c r="K52"/>
      <c r="L52">
        <v>6</v>
      </c>
      <c r="M52" s="29" t="s">
        <v>338</v>
      </c>
      <c r="N52" t="s">
        <v>339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150</v>
      </c>
      <c r="V52">
        <v>0</v>
      </c>
      <c r="W52" s="28" t="s">
        <v>155</v>
      </c>
      <c r="X52">
        <v>0</v>
      </c>
      <c r="Y52">
        <v>150</v>
      </c>
      <c r="Z52" t="s">
        <v>156</v>
      </c>
      <c r="AA52"/>
      <c r="AB52" s="29" t="s">
        <v>142</v>
      </c>
      <c r="AC52" s="29"/>
      <c r="AD52" t="s">
        <v>158</v>
      </c>
      <c r="AE52"/>
      <c r="AF52" t="s">
        <v>158</v>
      </c>
      <c r="AG52" s="29" t="s">
        <v>142</v>
      </c>
      <c r="AH52" s="29" t="s">
        <v>146</v>
      </c>
      <c r="AI52"/>
      <c r="AJ52"/>
      <c r="AK52"/>
      <c r="AL52"/>
      <c r="AM52"/>
      <c r="AN52"/>
      <c r="AO52"/>
      <c r="AP52"/>
      <c r="AQ52">
        <v>0</v>
      </c>
      <c r="AR52"/>
      <c r="AS52" t="str">
        <f t="shared" si="0"/>
        <v>20250500|227-441863-15-15|M441863-15|03/04/2025||01|E001|0|1730||6|10486824986|VALERIO GOMEZ MICHELL STEVEN|0|0|0|0|0|0|150|0|0.00|0|150|PEN||01/01/0001||-||-|01/01/0001|0|||||||||0|</v>
      </c>
    </row>
    <row r="53" spans="1:45" ht="15" customHeight="1" x14ac:dyDescent="0.25">
      <c r="A53">
        <v>46</v>
      </c>
      <c r="B53">
        <v>20250500</v>
      </c>
      <c r="C53" t="s">
        <v>546</v>
      </c>
      <c r="D53" t="s">
        <v>547</v>
      </c>
      <c r="E53" s="29" t="s">
        <v>174</v>
      </c>
      <c r="G53" s="29" t="s">
        <v>147</v>
      </c>
      <c r="H53" s="29" t="s">
        <v>228</v>
      </c>
      <c r="I53">
        <v>0</v>
      </c>
      <c r="J53">
        <v>193118</v>
      </c>
      <c r="L53">
        <v>6</v>
      </c>
      <c r="M53" s="29" t="s">
        <v>187</v>
      </c>
      <c r="N53" t="s">
        <v>188</v>
      </c>
      <c r="O53">
        <v>0</v>
      </c>
      <c r="P53">
        <v>0</v>
      </c>
      <c r="Q53">
        <v>16.29</v>
      </c>
      <c r="R53">
        <v>2.93</v>
      </c>
      <c r="S53">
        <v>0</v>
      </c>
      <c r="T53">
        <v>0</v>
      </c>
      <c r="U53">
        <v>0</v>
      </c>
      <c r="V53">
        <v>0</v>
      </c>
      <c r="W53" s="28" t="s">
        <v>155</v>
      </c>
      <c r="X53">
        <v>0.48</v>
      </c>
      <c r="Y53">
        <v>19.7</v>
      </c>
      <c r="Z53" t="s">
        <v>156</v>
      </c>
      <c r="AB53" s="29" t="s">
        <v>142</v>
      </c>
      <c r="AC53" s="29"/>
      <c r="AD53" t="s">
        <v>158</v>
      </c>
      <c r="AF53" t="s">
        <v>158</v>
      </c>
      <c r="AG53" s="29" t="s">
        <v>142</v>
      </c>
      <c r="AH53" s="29" t="s">
        <v>146</v>
      </c>
      <c r="AQ53">
        <v>6</v>
      </c>
      <c r="AS53" t="str">
        <f t="shared" si="0"/>
        <v>20250500|227-441863-7|M441863-7|02/04/2025||01|F103|0|193118||6|20388829452|LASINO S.A.|0|0|16.29|2.93|0|0|0|0|0.00|0.48|19.7|PEN||01/01/0001||-||-|01/01/0001|0|||||||||6|</v>
      </c>
    </row>
    <row r="54" spans="1:45" ht="15" customHeight="1" x14ac:dyDescent="0.25">
      <c r="A54">
        <v>47</v>
      </c>
      <c r="B54">
        <v>20250500</v>
      </c>
      <c r="C54" t="s">
        <v>548</v>
      </c>
      <c r="D54" t="s">
        <v>549</v>
      </c>
      <c r="E54" s="29" t="s">
        <v>150</v>
      </c>
      <c r="G54" s="29" t="s">
        <v>147</v>
      </c>
      <c r="H54" s="29" t="s">
        <v>261</v>
      </c>
      <c r="I54">
        <v>0</v>
      </c>
      <c r="J54">
        <v>194401</v>
      </c>
      <c r="L54">
        <v>6</v>
      </c>
      <c r="M54" s="29" t="s">
        <v>352</v>
      </c>
      <c r="N54" t="s">
        <v>353</v>
      </c>
      <c r="O54">
        <v>0</v>
      </c>
      <c r="P54">
        <v>0</v>
      </c>
      <c r="Q54">
        <v>50.4</v>
      </c>
      <c r="R54">
        <v>9.07</v>
      </c>
      <c r="S54">
        <v>0</v>
      </c>
      <c r="T54">
        <v>0</v>
      </c>
      <c r="U54">
        <v>0</v>
      </c>
      <c r="V54">
        <v>0</v>
      </c>
      <c r="W54" s="28" t="s">
        <v>155</v>
      </c>
      <c r="X54">
        <v>3.53</v>
      </c>
      <c r="Y54">
        <v>63</v>
      </c>
      <c r="Z54" t="s">
        <v>156</v>
      </c>
      <c r="AB54" s="29" t="s">
        <v>142</v>
      </c>
      <c r="AC54" s="29"/>
      <c r="AD54" t="s">
        <v>158</v>
      </c>
      <c r="AF54" t="s">
        <v>158</v>
      </c>
      <c r="AG54" s="29" t="s">
        <v>142</v>
      </c>
      <c r="AH54" s="29" t="s">
        <v>146</v>
      </c>
      <c r="AQ54">
        <v>6</v>
      </c>
      <c r="AS54" t="str">
        <f t="shared" si="0"/>
        <v>20250500|227-441863-9|M441863-9|04/04/2025||01|F202|0|194401||6|20509076945|CINCO MILLAS S.A.C.|0|0|50.4|9.07|0|0|0|0|0.00|3.53|63|PEN||01/01/0001||-||-|01/01/0001|0|||||||||6|</v>
      </c>
    </row>
    <row r="55" spans="1:45" s="35" customFormat="1" ht="15" customHeight="1" x14ac:dyDescent="0.25">
      <c r="A55">
        <v>48</v>
      </c>
      <c r="B55">
        <v>20250500</v>
      </c>
      <c r="C55" t="s">
        <v>315</v>
      </c>
      <c r="D55" t="s">
        <v>316</v>
      </c>
      <c r="E55" s="29" t="s">
        <v>205</v>
      </c>
      <c r="F55"/>
      <c r="G55" s="29" t="s">
        <v>147</v>
      </c>
      <c r="H55" s="29" t="s">
        <v>159</v>
      </c>
      <c r="I55">
        <v>0</v>
      </c>
      <c r="J55">
        <v>956</v>
      </c>
      <c r="K55"/>
      <c r="L55">
        <v>6</v>
      </c>
      <c r="M55" s="29" t="s">
        <v>317</v>
      </c>
      <c r="N55" t="s">
        <v>318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120</v>
      </c>
      <c r="V55">
        <v>0</v>
      </c>
      <c r="W55" s="28" t="s">
        <v>155</v>
      </c>
      <c r="X55">
        <v>0</v>
      </c>
      <c r="Y55">
        <v>120</v>
      </c>
      <c r="Z55" t="s">
        <v>156</v>
      </c>
      <c r="AA55"/>
      <c r="AB55" s="29" t="s">
        <v>142</v>
      </c>
      <c r="AC55" s="29"/>
      <c r="AD55" t="s">
        <v>158</v>
      </c>
      <c r="AE55"/>
      <c r="AF55" t="s">
        <v>158</v>
      </c>
      <c r="AG55" s="29" t="s">
        <v>142</v>
      </c>
      <c r="AH55" s="29" t="s">
        <v>146</v>
      </c>
      <c r="AI55"/>
      <c r="AJ55"/>
      <c r="AK55"/>
      <c r="AL55"/>
      <c r="AM55"/>
      <c r="AN55"/>
      <c r="AO55"/>
      <c r="AP55"/>
      <c r="AQ55">
        <v>0</v>
      </c>
      <c r="AR55"/>
      <c r="AS55" t="str">
        <f t="shared" si="0"/>
        <v>20250500|227-441864-10-10|M441864-10|27/03/2025||01|E001|0|956||6|10436498638|MACAHUACHI PICON ERICK LUIS|0|0|0|0|0|0|120|0|0.00|0|120|PEN||01/01/0001||-||-|01/01/0001|0|||||||||0|</v>
      </c>
    </row>
    <row r="56" spans="1:45" s="35" customFormat="1" ht="15" customHeight="1" x14ac:dyDescent="0.25">
      <c r="A56">
        <v>49</v>
      </c>
      <c r="B56">
        <v>20250500</v>
      </c>
      <c r="C56" t="s">
        <v>403</v>
      </c>
      <c r="D56" t="s">
        <v>404</v>
      </c>
      <c r="E56" s="29" t="s">
        <v>171</v>
      </c>
      <c r="F56"/>
      <c r="G56" s="29" t="s">
        <v>147</v>
      </c>
      <c r="H56" s="29" t="s">
        <v>217</v>
      </c>
      <c r="I56">
        <v>0</v>
      </c>
      <c r="J56">
        <v>2195</v>
      </c>
      <c r="K56"/>
      <c r="L56">
        <v>6</v>
      </c>
      <c r="M56" s="29" t="s">
        <v>405</v>
      </c>
      <c r="N56" t="s">
        <v>406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64.599999999999994</v>
      </c>
      <c r="V56">
        <v>0</v>
      </c>
      <c r="W56" s="28" t="s">
        <v>155</v>
      </c>
      <c r="X56">
        <v>0</v>
      </c>
      <c r="Y56">
        <v>64.599999999999994</v>
      </c>
      <c r="Z56" t="s">
        <v>156</v>
      </c>
      <c r="AA56"/>
      <c r="AB56" s="29" t="s">
        <v>142</v>
      </c>
      <c r="AC56" s="29"/>
      <c r="AD56" t="s">
        <v>158</v>
      </c>
      <c r="AE56"/>
      <c r="AF56" t="s">
        <v>158</v>
      </c>
      <c r="AG56" s="29" t="s">
        <v>142</v>
      </c>
      <c r="AH56" s="29" t="s">
        <v>146</v>
      </c>
      <c r="AI56"/>
      <c r="AJ56"/>
      <c r="AK56"/>
      <c r="AL56"/>
      <c r="AM56"/>
      <c r="AN56"/>
      <c r="AO56"/>
      <c r="AP56"/>
      <c r="AQ56">
        <v>0</v>
      </c>
      <c r="AR56"/>
      <c r="AS56" t="str">
        <f t="shared" si="0"/>
        <v>20250500|227-441864-2-2|M441864-2|26/03/2025||01|FT01|0|2195||6|20607571211|IQUITOS PRODUCE EMPRESA INDIVIDUAL DE RESPONSABILIDAD LIMITA|0|0|0|0|0|0|64.6|0|0.00|0|64.6|PEN||01/01/0001||-||-|01/01/0001|0|||||||||0|</v>
      </c>
    </row>
    <row r="57" spans="1:45" s="35" customFormat="1" ht="15" customHeight="1" x14ac:dyDescent="0.25">
      <c r="A57">
        <v>50</v>
      </c>
      <c r="B57">
        <v>20250500</v>
      </c>
      <c r="C57" t="s">
        <v>220</v>
      </c>
      <c r="D57" t="s">
        <v>221</v>
      </c>
      <c r="E57" s="29" t="s">
        <v>222</v>
      </c>
      <c r="F57"/>
      <c r="G57" s="29" t="s">
        <v>147</v>
      </c>
      <c r="H57" s="29" t="s">
        <v>167</v>
      </c>
      <c r="I57">
        <v>0</v>
      </c>
      <c r="J57">
        <v>4070</v>
      </c>
      <c r="K57"/>
      <c r="L57">
        <v>6</v>
      </c>
      <c r="M57" s="29" t="s">
        <v>223</v>
      </c>
      <c r="N57" t="s">
        <v>224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26</v>
      </c>
      <c r="V57">
        <v>0</v>
      </c>
      <c r="W57" s="28" t="s">
        <v>155</v>
      </c>
      <c r="X57">
        <v>0</v>
      </c>
      <c r="Y57">
        <v>26</v>
      </c>
      <c r="Z57" t="s">
        <v>156</v>
      </c>
      <c r="AA57"/>
      <c r="AB57" s="29" t="s">
        <v>142</v>
      </c>
      <c r="AC57" s="29"/>
      <c r="AD57" t="s">
        <v>158</v>
      </c>
      <c r="AE57"/>
      <c r="AF57" t="s">
        <v>158</v>
      </c>
      <c r="AG57" s="29" t="s">
        <v>142</v>
      </c>
      <c r="AH57" s="29" t="s">
        <v>146</v>
      </c>
      <c r="AI57"/>
      <c r="AJ57"/>
      <c r="AK57"/>
      <c r="AL57"/>
      <c r="AM57"/>
      <c r="AN57"/>
      <c r="AO57"/>
      <c r="AP57"/>
      <c r="AQ57">
        <v>0</v>
      </c>
      <c r="AR57"/>
      <c r="AS57" t="str">
        <f t="shared" si="0"/>
        <v>20250500|227-441864-4-4|M441864-4|28/03/2025||01|F003|0|4070||6|20528433911|IVALU REFRIGERIOS SOCIEDAD COMERCIAL DE RESPONSABILIDAD LIMI|0|0|0|0|0|0|26|0|0.00|0|26|PEN||01/01/0001||-||-|01/01/0001|0|||||||||0|</v>
      </c>
    </row>
    <row r="58" spans="1:45" ht="15" customHeight="1" x14ac:dyDescent="0.25">
      <c r="A58">
        <v>51</v>
      </c>
      <c r="B58">
        <v>20250500</v>
      </c>
      <c r="C58" t="s">
        <v>439</v>
      </c>
      <c r="D58" t="s">
        <v>440</v>
      </c>
      <c r="E58" s="29" t="s">
        <v>222</v>
      </c>
      <c r="G58" s="29" t="s">
        <v>147</v>
      </c>
      <c r="H58" s="29" t="s">
        <v>251</v>
      </c>
      <c r="I58">
        <v>0</v>
      </c>
      <c r="J58">
        <v>123817</v>
      </c>
      <c r="L58">
        <v>6</v>
      </c>
      <c r="M58" s="29" t="s">
        <v>252</v>
      </c>
      <c r="N58" t="s">
        <v>253</v>
      </c>
      <c r="O58">
        <v>0</v>
      </c>
      <c r="P58">
        <v>0</v>
      </c>
      <c r="Q58">
        <v>46.69</v>
      </c>
      <c r="R58">
        <v>8.4</v>
      </c>
      <c r="S58">
        <v>0</v>
      </c>
      <c r="T58">
        <v>0</v>
      </c>
      <c r="U58">
        <v>0</v>
      </c>
      <c r="V58">
        <v>0</v>
      </c>
      <c r="W58" s="28" t="s">
        <v>155</v>
      </c>
      <c r="X58">
        <v>2.81</v>
      </c>
      <c r="Y58">
        <v>57.9</v>
      </c>
      <c r="Z58" t="s">
        <v>156</v>
      </c>
      <c r="AB58" s="29" t="s">
        <v>142</v>
      </c>
      <c r="AC58" s="29"/>
      <c r="AD58" t="s">
        <v>158</v>
      </c>
      <c r="AF58" t="s">
        <v>158</v>
      </c>
      <c r="AG58" s="29" t="s">
        <v>142</v>
      </c>
      <c r="AH58" s="29" t="s">
        <v>146</v>
      </c>
      <c r="AQ58">
        <v>6</v>
      </c>
      <c r="AS58" t="str">
        <f t="shared" si="0"/>
        <v>20250500|227-441864-6|M441864-6|28/03/2025||01|F128|0|123817||6|20100123330|DELOSI S.A.|0|0|46.69|8.4|0|0|0|0|0.00|2.81|57.9|PEN||01/01/0001||-||-|01/01/0001|0|||||||||6|</v>
      </c>
    </row>
    <row r="59" spans="1:45" ht="15" customHeight="1" x14ac:dyDescent="0.25">
      <c r="A59">
        <v>52</v>
      </c>
      <c r="B59">
        <v>20250500</v>
      </c>
      <c r="C59" t="s">
        <v>332</v>
      </c>
      <c r="D59" t="s">
        <v>333</v>
      </c>
      <c r="E59" s="29" t="s">
        <v>171</v>
      </c>
      <c r="G59" s="29" t="s">
        <v>147</v>
      </c>
      <c r="H59" s="29" t="s">
        <v>159</v>
      </c>
      <c r="I59">
        <v>0</v>
      </c>
      <c r="J59">
        <v>2728</v>
      </c>
      <c r="L59">
        <v>6</v>
      </c>
      <c r="M59" s="29" t="s">
        <v>334</v>
      </c>
      <c r="N59" t="s">
        <v>335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160</v>
      </c>
      <c r="V59">
        <v>0</v>
      </c>
      <c r="W59" s="28" t="s">
        <v>155</v>
      </c>
      <c r="X59">
        <v>0</v>
      </c>
      <c r="Y59">
        <v>160</v>
      </c>
      <c r="Z59" t="s">
        <v>156</v>
      </c>
      <c r="AB59" s="29" t="s">
        <v>142</v>
      </c>
      <c r="AC59" s="29"/>
      <c r="AD59" t="s">
        <v>158</v>
      </c>
      <c r="AF59" t="s">
        <v>158</v>
      </c>
      <c r="AG59" s="29" t="s">
        <v>142</v>
      </c>
      <c r="AH59" s="29" t="s">
        <v>146</v>
      </c>
      <c r="AQ59">
        <v>0</v>
      </c>
      <c r="AS59" t="str">
        <f t="shared" si="0"/>
        <v>20250500|227-441864-7-7|M441864-7|26/03/2025||01|E001|0|2728||6|20611477636|HOTEL YAQUERANA E.I.R.L.|0|0|0|0|0|0|160|0|0.00|0|160|PEN||01/01/0001||-||-|01/01/0001|0|||||||||0|</v>
      </c>
    </row>
    <row r="60" spans="1:45" s="35" customFormat="1" ht="15" customHeight="1" x14ac:dyDescent="0.25">
      <c r="A60">
        <v>53</v>
      </c>
      <c r="B60">
        <v>20250500</v>
      </c>
      <c r="C60" t="s">
        <v>203</v>
      </c>
      <c r="D60" t="s">
        <v>204</v>
      </c>
      <c r="E60" s="29" t="s">
        <v>205</v>
      </c>
      <c r="F60"/>
      <c r="G60" s="29" t="s">
        <v>147</v>
      </c>
      <c r="H60" s="29" t="s">
        <v>159</v>
      </c>
      <c r="I60">
        <v>0</v>
      </c>
      <c r="J60">
        <v>4631</v>
      </c>
      <c r="K60"/>
      <c r="L60">
        <v>6</v>
      </c>
      <c r="M60" s="29" t="s">
        <v>206</v>
      </c>
      <c r="N60" t="s">
        <v>207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120</v>
      </c>
      <c r="V60">
        <v>0</v>
      </c>
      <c r="W60" s="28" t="s">
        <v>155</v>
      </c>
      <c r="X60">
        <v>0</v>
      </c>
      <c r="Y60">
        <v>120</v>
      </c>
      <c r="Z60" t="s">
        <v>156</v>
      </c>
      <c r="AA60"/>
      <c r="AB60" s="29" t="s">
        <v>142</v>
      </c>
      <c r="AC60" s="29"/>
      <c r="AD60" t="s">
        <v>158</v>
      </c>
      <c r="AE60"/>
      <c r="AF60" t="s">
        <v>158</v>
      </c>
      <c r="AG60" s="29" t="s">
        <v>142</v>
      </c>
      <c r="AH60" s="29" t="s">
        <v>146</v>
      </c>
      <c r="AI60"/>
      <c r="AJ60"/>
      <c r="AK60"/>
      <c r="AL60"/>
      <c r="AM60"/>
      <c r="AN60"/>
      <c r="AO60"/>
      <c r="AP60"/>
      <c r="AQ60">
        <v>0</v>
      </c>
      <c r="AR60"/>
      <c r="AS60" t="str">
        <f t="shared" si="0"/>
        <v>20250500|227-441864-9-9|M441864-9|27/03/2025||01|E001|0|4631||6|20541289594|GRAN HOSTAL SUPER STAR S.A.C.           |0|0|0|0|0|0|120|0|0.00|0|120|PEN||01/01/0001||-||-|01/01/0001|0|||||||||0|</v>
      </c>
    </row>
    <row r="61" spans="1:45" ht="15" customHeight="1" x14ac:dyDescent="0.25">
      <c r="A61">
        <v>54</v>
      </c>
      <c r="B61">
        <v>20250500</v>
      </c>
      <c r="C61" t="s">
        <v>265</v>
      </c>
      <c r="D61" t="s">
        <v>266</v>
      </c>
      <c r="E61" s="29" t="s">
        <v>210</v>
      </c>
      <c r="G61" s="29" t="s">
        <v>147</v>
      </c>
      <c r="H61" s="29" t="s">
        <v>267</v>
      </c>
      <c r="I61">
        <v>0</v>
      </c>
      <c r="J61">
        <v>14273</v>
      </c>
      <c r="L61">
        <v>6</v>
      </c>
      <c r="M61" s="29" t="s">
        <v>212</v>
      </c>
      <c r="N61" t="s">
        <v>213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</v>
      </c>
      <c r="V61">
        <v>0</v>
      </c>
      <c r="W61" s="28" t="s">
        <v>155</v>
      </c>
      <c r="X61">
        <v>0</v>
      </c>
      <c r="Y61">
        <v>8</v>
      </c>
      <c r="Z61" t="s">
        <v>156</v>
      </c>
      <c r="AB61" s="29" t="s">
        <v>142</v>
      </c>
      <c r="AC61" s="29"/>
      <c r="AD61" t="s">
        <v>158</v>
      </c>
      <c r="AF61" t="s">
        <v>158</v>
      </c>
      <c r="AG61" s="29" t="s">
        <v>142</v>
      </c>
      <c r="AH61" s="29" t="s">
        <v>146</v>
      </c>
      <c r="AQ61">
        <v>0</v>
      </c>
      <c r="AS61" t="str">
        <f t="shared" si="0"/>
        <v>20250500|227-441865-3-3|M441865-3|16/04/2025||01|F337|0|14273||6|20602221505|ZBUSS S.A.C|0|0|0|0|0|0|8|0|0.00|0|8|PEN||01/01/0001||-||-|01/01/0001|0|||||||||0|</v>
      </c>
    </row>
    <row r="62" spans="1:45" ht="15" customHeight="1" x14ac:dyDescent="0.25">
      <c r="A62">
        <v>55</v>
      </c>
      <c r="B62">
        <v>20250500</v>
      </c>
      <c r="C62" t="s">
        <v>208</v>
      </c>
      <c r="D62" t="s">
        <v>209</v>
      </c>
      <c r="E62" s="29" t="s">
        <v>210</v>
      </c>
      <c r="G62" s="29" t="s">
        <v>147</v>
      </c>
      <c r="H62" s="29" t="s">
        <v>211</v>
      </c>
      <c r="I62">
        <v>0</v>
      </c>
      <c r="J62">
        <v>6349</v>
      </c>
      <c r="L62">
        <v>6</v>
      </c>
      <c r="M62" s="29" t="s">
        <v>212</v>
      </c>
      <c r="N62" t="s">
        <v>213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</v>
      </c>
      <c r="V62">
        <v>0</v>
      </c>
      <c r="W62" s="28" t="s">
        <v>155</v>
      </c>
      <c r="X62">
        <v>0</v>
      </c>
      <c r="Y62">
        <v>8</v>
      </c>
      <c r="Z62" t="s">
        <v>156</v>
      </c>
      <c r="AB62" s="29" t="s">
        <v>142</v>
      </c>
      <c r="AC62" s="29"/>
      <c r="AD62" t="s">
        <v>158</v>
      </c>
      <c r="AF62" t="s">
        <v>158</v>
      </c>
      <c r="AG62" s="29" t="s">
        <v>142</v>
      </c>
      <c r="AH62" s="29" t="s">
        <v>146</v>
      </c>
      <c r="AQ62">
        <v>0</v>
      </c>
      <c r="AS62" t="str">
        <f t="shared" si="0"/>
        <v>20250500|227-441865-4-4|M441865-4|16/04/2025||01|F328|0|6349||6|20602221505|ZBUSS S.A.C|0|0|0|0|0|0|8|0|0.00|0|8|PEN||01/01/0001||-||-|01/01/0001|0|||||||||0|</v>
      </c>
    </row>
    <row r="63" spans="1:45" ht="15" customHeight="1" x14ac:dyDescent="0.25">
      <c r="A63">
        <v>56</v>
      </c>
      <c r="B63">
        <v>20250500</v>
      </c>
      <c r="C63" t="s">
        <v>258</v>
      </c>
      <c r="D63" t="s">
        <v>259</v>
      </c>
      <c r="E63" s="29" t="s">
        <v>260</v>
      </c>
      <c r="G63" s="29" t="s">
        <v>147</v>
      </c>
      <c r="H63" s="29" t="s">
        <v>170</v>
      </c>
      <c r="I63">
        <v>0</v>
      </c>
      <c r="J63">
        <v>349</v>
      </c>
      <c r="L63">
        <v>6</v>
      </c>
      <c r="M63" s="29" t="s">
        <v>191</v>
      </c>
      <c r="N63" t="s">
        <v>192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60</v>
      </c>
      <c r="V63">
        <v>0</v>
      </c>
      <c r="W63" s="28" t="s">
        <v>155</v>
      </c>
      <c r="X63">
        <v>0</v>
      </c>
      <c r="Y63">
        <v>60</v>
      </c>
      <c r="Z63" t="s">
        <v>156</v>
      </c>
      <c r="AB63" s="29" t="s">
        <v>142</v>
      </c>
      <c r="AC63" s="29"/>
      <c r="AD63" t="s">
        <v>158</v>
      </c>
      <c r="AF63" t="s">
        <v>158</v>
      </c>
      <c r="AG63" s="29" t="s">
        <v>142</v>
      </c>
      <c r="AH63" s="29" t="s">
        <v>146</v>
      </c>
      <c r="AQ63">
        <v>0</v>
      </c>
      <c r="AS63" t="str">
        <f t="shared" si="0"/>
        <v>20250500|227-441866-3-3|M441866-3|12/04/2025||01|FE06|0|349||6|20605749381|TAXI RUMI EXPRESS S.A.C.|0|0|0|0|0|0|60|0|0.00|0|60|PEN||01/01/0001||-||-|01/01/0001|0|||||||||0|</v>
      </c>
    </row>
    <row r="64" spans="1:45" s="35" customFormat="1" ht="15" customHeight="1" x14ac:dyDescent="0.25">
      <c r="A64">
        <v>57</v>
      </c>
      <c r="B64">
        <v>20250500</v>
      </c>
      <c r="C64" t="s">
        <v>302</v>
      </c>
      <c r="D64" t="s">
        <v>303</v>
      </c>
      <c r="E64" s="29" t="s">
        <v>304</v>
      </c>
      <c r="F64"/>
      <c r="G64" s="29" t="s">
        <v>147</v>
      </c>
      <c r="H64" s="29" t="s">
        <v>170</v>
      </c>
      <c r="I64">
        <v>0</v>
      </c>
      <c r="J64">
        <v>350</v>
      </c>
      <c r="K64"/>
      <c r="L64">
        <v>6</v>
      </c>
      <c r="M64" s="29" t="s">
        <v>191</v>
      </c>
      <c r="N64" t="s">
        <v>192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60</v>
      </c>
      <c r="V64">
        <v>0</v>
      </c>
      <c r="W64" s="28" t="s">
        <v>155</v>
      </c>
      <c r="X64">
        <v>0</v>
      </c>
      <c r="Y64">
        <v>60</v>
      </c>
      <c r="Z64" t="s">
        <v>156</v>
      </c>
      <c r="AA64"/>
      <c r="AB64" s="29" t="s">
        <v>142</v>
      </c>
      <c r="AC64" s="29"/>
      <c r="AD64" t="s">
        <v>158</v>
      </c>
      <c r="AE64"/>
      <c r="AF64" t="s">
        <v>158</v>
      </c>
      <c r="AG64" s="29" t="s">
        <v>142</v>
      </c>
      <c r="AH64" s="29" t="s">
        <v>146</v>
      </c>
      <c r="AI64"/>
      <c r="AJ64"/>
      <c r="AK64"/>
      <c r="AL64"/>
      <c r="AM64"/>
      <c r="AN64"/>
      <c r="AO64"/>
      <c r="AP64"/>
      <c r="AQ64">
        <v>0</v>
      </c>
      <c r="AR64"/>
      <c r="AS64" t="str">
        <f t="shared" si="0"/>
        <v>20250500|227-441866-4-4|M441866-4|13/04/2025||01|FE06|0|350||6|20605749381|TAXI RUMI EXPRESS S.A.C.|0|0|0|0|0|0|60|0|0.00|0|60|PEN||01/01/0001||-||-|01/01/0001|0|||||||||0|</v>
      </c>
    </row>
    <row r="65" spans="1:45" s="35" customFormat="1" ht="15" customHeight="1" x14ac:dyDescent="0.25">
      <c r="A65">
        <v>58</v>
      </c>
      <c r="B65">
        <v>20250500</v>
      </c>
      <c r="C65" t="s">
        <v>458</v>
      </c>
      <c r="D65" t="s">
        <v>459</v>
      </c>
      <c r="E65" s="29" t="s">
        <v>260</v>
      </c>
      <c r="F65"/>
      <c r="G65" s="29" t="s">
        <v>147</v>
      </c>
      <c r="H65" s="29" t="s">
        <v>159</v>
      </c>
      <c r="I65">
        <v>0</v>
      </c>
      <c r="J65">
        <v>48</v>
      </c>
      <c r="K65"/>
      <c r="L65">
        <v>6</v>
      </c>
      <c r="M65" s="29" t="s">
        <v>360</v>
      </c>
      <c r="N65" t="s">
        <v>361</v>
      </c>
      <c r="O65">
        <v>0</v>
      </c>
      <c r="P65">
        <v>0</v>
      </c>
      <c r="Q65">
        <v>203.39</v>
      </c>
      <c r="R65">
        <v>36.61</v>
      </c>
      <c r="S65">
        <v>0</v>
      </c>
      <c r="T65">
        <v>0</v>
      </c>
      <c r="U65">
        <v>0</v>
      </c>
      <c r="V65">
        <v>0</v>
      </c>
      <c r="W65" s="28" t="s">
        <v>155</v>
      </c>
      <c r="X65">
        <v>0</v>
      </c>
      <c r="Y65">
        <v>240</v>
      </c>
      <c r="Z65" t="s">
        <v>156</v>
      </c>
      <c r="AA65"/>
      <c r="AB65" s="29" t="s">
        <v>142</v>
      </c>
      <c r="AC65" s="29"/>
      <c r="AD65" t="s">
        <v>158</v>
      </c>
      <c r="AE65"/>
      <c r="AF65" t="s">
        <v>158</v>
      </c>
      <c r="AG65" s="29" t="s">
        <v>142</v>
      </c>
      <c r="AH65" s="29" t="s">
        <v>146</v>
      </c>
      <c r="AI65"/>
      <c r="AJ65"/>
      <c r="AK65"/>
      <c r="AL65"/>
      <c r="AM65"/>
      <c r="AN65"/>
      <c r="AO65"/>
      <c r="AP65"/>
      <c r="AQ65">
        <v>6</v>
      </c>
      <c r="AR65"/>
      <c r="AS65" t="str">
        <f t="shared" si="0"/>
        <v>20250500|227-441866-5-5|M441866-5|12/04/2025||01|E001|0|48||6|20452833213|EMPRESA DE TRANSPORTE Y TURISMO RASUHUILLCA SAC|0|0|203.39|36.61|0|0|0|0|0.00|0|240|PEN||01/01/0001||-||-|01/01/0001|0|||||||||6|</v>
      </c>
    </row>
    <row r="66" spans="1:45" ht="15" customHeight="1" x14ac:dyDescent="0.25">
      <c r="A66">
        <v>59</v>
      </c>
      <c r="B66">
        <v>20250500</v>
      </c>
      <c r="C66" t="s">
        <v>380</v>
      </c>
      <c r="D66" t="s">
        <v>381</v>
      </c>
      <c r="E66" s="29" t="s">
        <v>151</v>
      </c>
      <c r="F66" s="29" t="s">
        <v>175</v>
      </c>
      <c r="G66" s="29" t="s">
        <v>12</v>
      </c>
      <c r="H66" s="29" t="s">
        <v>214</v>
      </c>
      <c r="I66">
        <v>0</v>
      </c>
      <c r="J66">
        <v>6631538</v>
      </c>
      <c r="L66">
        <v>6</v>
      </c>
      <c r="M66" s="29" t="s">
        <v>215</v>
      </c>
      <c r="N66" t="s">
        <v>216</v>
      </c>
      <c r="O66">
        <v>0</v>
      </c>
      <c r="P66">
        <v>0</v>
      </c>
      <c r="Q66">
        <v>9718.9599999999991</v>
      </c>
      <c r="R66">
        <v>1749.41</v>
      </c>
      <c r="S66">
        <v>0</v>
      </c>
      <c r="T66">
        <v>0</v>
      </c>
      <c r="U66">
        <v>0</v>
      </c>
      <c r="V66">
        <v>0</v>
      </c>
      <c r="W66" s="28" t="s">
        <v>155</v>
      </c>
      <c r="X66">
        <v>0.03</v>
      </c>
      <c r="Y66">
        <v>11468.4</v>
      </c>
      <c r="Z66" t="s">
        <v>156</v>
      </c>
      <c r="AB66" s="29" t="s">
        <v>142</v>
      </c>
      <c r="AC66" s="29"/>
      <c r="AD66" t="s">
        <v>158</v>
      </c>
      <c r="AF66" t="s">
        <v>158</v>
      </c>
      <c r="AG66" s="29" t="s">
        <v>142</v>
      </c>
      <c r="AH66" s="29" t="s">
        <v>146</v>
      </c>
      <c r="AQ66">
        <v>6</v>
      </c>
      <c r="AS66" t="str">
        <f t="shared" si="0"/>
        <v>20250500|227-441870|M441870|29/04/2025|06/05/2025|14|S106|0|6631538||6|20100152356|SERV AGUA POTAB Y ALCANT DE LIMA-SEDAPAL|0|0|9718.96|1749.41|0|0|0|0|0.00|0.03|11468.4|PEN||01/01/0001||-||-|01/01/0001|0|||||||||6|</v>
      </c>
    </row>
    <row r="67" spans="1:45" ht="15" customHeight="1" x14ac:dyDescent="0.25">
      <c r="A67">
        <v>60</v>
      </c>
      <c r="B67">
        <v>20250500</v>
      </c>
      <c r="C67" t="s">
        <v>382</v>
      </c>
      <c r="D67" t="s">
        <v>383</v>
      </c>
      <c r="E67" s="29" t="s">
        <v>151</v>
      </c>
      <c r="F67" s="29" t="s">
        <v>175</v>
      </c>
      <c r="G67" s="29" t="s">
        <v>12</v>
      </c>
      <c r="H67" s="29" t="s">
        <v>214</v>
      </c>
      <c r="I67">
        <v>0</v>
      </c>
      <c r="J67">
        <v>6631539</v>
      </c>
      <c r="L67">
        <v>6</v>
      </c>
      <c r="M67" s="29" t="s">
        <v>215</v>
      </c>
      <c r="N67" t="s">
        <v>216</v>
      </c>
      <c r="O67">
        <v>0</v>
      </c>
      <c r="P67">
        <v>0</v>
      </c>
      <c r="Q67">
        <v>6514.18</v>
      </c>
      <c r="R67">
        <v>1172.55</v>
      </c>
      <c r="S67">
        <v>0</v>
      </c>
      <c r="T67">
        <v>0</v>
      </c>
      <c r="U67">
        <v>0</v>
      </c>
      <c r="V67">
        <v>0</v>
      </c>
      <c r="W67" s="28" t="s">
        <v>155</v>
      </c>
      <c r="X67">
        <v>-0.03</v>
      </c>
      <c r="Y67">
        <v>7686.7</v>
      </c>
      <c r="Z67" t="s">
        <v>156</v>
      </c>
      <c r="AB67" s="29" t="s">
        <v>142</v>
      </c>
      <c r="AC67" s="29"/>
      <c r="AD67" t="s">
        <v>158</v>
      </c>
      <c r="AF67" t="s">
        <v>158</v>
      </c>
      <c r="AG67" s="29" t="s">
        <v>142</v>
      </c>
      <c r="AH67" s="29" t="s">
        <v>146</v>
      </c>
      <c r="AQ67">
        <v>6</v>
      </c>
      <c r="AS67" t="str">
        <f t="shared" si="0"/>
        <v>20250500|227-441871|M441871|29/04/2025|06/05/2025|14|S106|0|6631539||6|20100152356|SERV AGUA POTAB Y ALCANT DE LIMA-SEDAPAL|0|0|6514.18|1172.55|0|0|0|0|0.00|-0.03|7686.7|PEN||01/01/0001||-||-|01/01/0001|0|||||||||6|</v>
      </c>
    </row>
    <row r="68" spans="1:45" ht="15" customHeight="1" x14ac:dyDescent="0.25">
      <c r="A68">
        <v>61</v>
      </c>
      <c r="B68">
        <v>20250500</v>
      </c>
      <c r="C68" t="s">
        <v>511</v>
      </c>
      <c r="D68" t="s">
        <v>512</v>
      </c>
      <c r="E68" s="29" t="s">
        <v>179</v>
      </c>
      <c r="G68" s="29" t="s">
        <v>147</v>
      </c>
      <c r="H68" s="29" t="s">
        <v>447</v>
      </c>
      <c r="I68">
        <v>0</v>
      </c>
      <c r="J68">
        <v>35800</v>
      </c>
      <c r="L68">
        <v>6</v>
      </c>
      <c r="M68" s="29" t="s">
        <v>226</v>
      </c>
      <c r="N68" t="s">
        <v>227</v>
      </c>
      <c r="O68">
        <v>0</v>
      </c>
      <c r="P68">
        <v>0</v>
      </c>
      <c r="Q68">
        <v>209</v>
      </c>
      <c r="R68">
        <v>37.619999999999997</v>
      </c>
      <c r="S68">
        <v>0</v>
      </c>
      <c r="T68">
        <v>0</v>
      </c>
      <c r="U68">
        <v>0</v>
      </c>
      <c r="V68">
        <v>0</v>
      </c>
      <c r="W68" s="28" t="s">
        <v>155</v>
      </c>
      <c r="X68">
        <v>20.9</v>
      </c>
      <c r="Y68">
        <v>267.52</v>
      </c>
      <c r="Z68" t="s">
        <v>156</v>
      </c>
      <c r="AB68" s="29" t="s">
        <v>142</v>
      </c>
      <c r="AC68" s="29"/>
      <c r="AD68" t="s">
        <v>158</v>
      </c>
      <c r="AF68" t="s">
        <v>158</v>
      </c>
      <c r="AG68" s="29" t="s">
        <v>142</v>
      </c>
      <c r="AH68" s="29" t="s">
        <v>146</v>
      </c>
      <c r="AQ68">
        <v>6</v>
      </c>
      <c r="AS68" t="str">
        <f t="shared" si="0"/>
        <v>20250500|227-441872-10|M441872-10|14/04/2025||01|F090|0|35800||6|20231843460|COSTA DEL SOL S.A.|0|0|209|37.62|0|0|0|0|0.00|20.9|267.52|PEN||01/01/0001||-||-|01/01/0001|0|||||||||6|</v>
      </c>
    </row>
    <row r="69" spans="1:45" ht="15" customHeight="1" x14ac:dyDescent="0.25">
      <c r="A69">
        <v>62</v>
      </c>
      <c r="B69">
        <v>20250500</v>
      </c>
      <c r="C69" t="s">
        <v>384</v>
      </c>
      <c r="D69" t="s">
        <v>385</v>
      </c>
      <c r="E69" s="29" t="s">
        <v>179</v>
      </c>
      <c r="G69" s="29" t="s">
        <v>147</v>
      </c>
      <c r="H69" s="29" t="s">
        <v>386</v>
      </c>
      <c r="I69">
        <v>0</v>
      </c>
      <c r="J69">
        <v>7928</v>
      </c>
      <c r="L69">
        <v>6</v>
      </c>
      <c r="M69" s="29" t="s">
        <v>226</v>
      </c>
      <c r="N69" t="s">
        <v>227</v>
      </c>
      <c r="O69">
        <v>0</v>
      </c>
      <c r="P69">
        <v>0</v>
      </c>
      <c r="Q69">
        <v>79.69</v>
      </c>
      <c r="R69">
        <v>14.34</v>
      </c>
      <c r="S69">
        <v>0</v>
      </c>
      <c r="T69">
        <v>0</v>
      </c>
      <c r="U69">
        <v>0</v>
      </c>
      <c r="V69">
        <v>0</v>
      </c>
      <c r="W69" s="28" t="s">
        <v>155</v>
      </c>
      <c r="X69">
        <v>7.97</v>
      </c>
      <c r="Y69">
        <v>102</v>
      </c>
      <c r="Z69" t="s">
        <v>156</v>
      </c>
      <c r="AB69" s="29" t="s">
        <v>142</v>
      </c>
      <c r="AC69" s="29"/>
      <c r="AD69" t="s">
        <v>158</v>
      </c>
      <c r="AF69" t="s">
        <v>158</v>
      </c>
      <c r="AG69" s="29" t="s">
        <v>142</v>
      </c>
      <c r="AH69" s="29" t="s">
        <v>146</v>
      </c>
      <c r="AQ69">
        <v>6</v>
      </c>
      <c r="AS69" t="str">
        <f t="shared" si="0"/>
        <v>20250500|227-441872-6|M441872-6|14/04/2025||01|F096|0|7928||6|20231843460|COSTA DEL SOL S.A.|0|0|79.69|14.34|0|0|0|0|0.00|7.97|102|PEN||01/01/0001||-||-|01/01/0001|0|||||||||6|</v>
      </c>
    </row>
    <row r="70" spans="1:45" ht="15" customHeight="1" x14ac:dyDescent="0.25">
      <c r="A70">
        <v>63</v>
      </c>
      <c r="B70">
        <v>20250500</v>
      </c>
      <c r="C70" t="s">
        <v>445</v>
      </c>
      <c r="D70" t="s">
        <v>446</v>
      </c>
      <c r="E70" s="29" t="s">
        <v>154</v>
      </c>
      <c r="G70" s="29" t="s">
        <v>147</v>
      </c>
      <c r="H70" s="29" t="s">
        <v>447</v>
      </c>
      <c r="I70">
        <v>0</v>
      </c>
      <c r="J70">
        <v>35809</v>
      </c>
      <c r="L70">
        <v>6</v>
      </c>
      <c r="M70" s="29" t="s">
        <v>226</v>
      </c>
      <c r="N70" t="s">
        <v>227</v>
      </c>
      <c r="O70">
        <v>0</v>
      </c>
      <c r="P70">
        <v>0</v>
      </c>
      <c r="Q70">
        <v>10.94</v>
      </c>
      <c r="R70">
        <v>1.97</v>
      </c>
      <c r="S70">
        <v>0</v>
      </c>
      <c r="T70">
        <v>0</v>
      </c>
      <c r="U70">
        <v>0</v>
      </c>
      <c r="V70">
        <v>0</v>
      </c>
      <c r="W70" s="28" t="s">
        <v>155</v>
      </c>
      <c r="X70">
        <v>1.0900000000000001</v>
      </c>
      <c r="Y70">
        <v>14</v>
      </c>
      <c r="Z70" t="s">
        <v>156</v>
      </c>
      <c r="AB70" s="29" t="s">
        <v>142</v>
      </c>
      <c r="AC70" s="29"/>
      <c r="AD70" t="s">
        <v>158</v>
      </c>
      <c r="AF70" t="s">
        <v>158</v>
      </c>
      <c r="AG70" s="29" t="s">
        <v>142</v>
      </c>
      <c r="AH70" s="29" t="s">
        <v>146</v>
      </c>
      <c r="AQ70">
        <v>6</v>
      </c>
      <c r="AS70" t="str">
        <f t="shared" si="0"/>
        <v>20250500|227-441872-8|M441872-8|15/04/2025||01|F090|0|35809||6|20231843460|COSTA DEL SOL S.A.|0|0|10.94|1.97|0|0|0|0|0.00|1.09|14|PEN||01/01/0001||-||-|01/01/0001|0|||||||||6|</v>
      </c>
    </row>
    <row r="71" spans="1:45" ht="15" customHeight="1" x14ac:dyDescent="0.25">
      <c r="A71">
        <v>64</v>
      </c>
      <c r="B71">
        <v>20250500</v>
      </c>
      <c r="C71" t="s">
        <v>415</v>
      </c>
      <c r="D71" t="s">
        <v>416</v>
      </c>
      <c r="E71" s="29" t="s">
        <v>151</v>
      </c>
      <c r="F71" s="29" t="s">
        <v>175</v>
      </c>
      <c r="G71" s="29" t="s">
        <v>12</v>
      </c>
      <c r="H71" s="29" t="s">
        <v>214</v>
      </c>
      <c r="I71">
        <v>0</v>
      </c>
      <c r="J71">
        <v>6627786</v>
      </c>
      <c r="L71">
        <v>6</v>
      </c>
      <c r="M71" s="29" t="s">
        <v>215</v>
      </c>
      <c r="N71" t="s">
        <v>216</v>
      </c>
      <c r="O71">
        <v>0</v>
      </c>
      <c r="P71">
        <v>0</v>
      </c>
      <c r="Q71">
        <v>92.66</v>
      </c>
      <c r="R71">
        <v>16.68</v>
      </c>
      <c r="S71">
        <v>0</v>
      </c>
      <c r="T71">
        <v>0</v>
      </c>
      <c r="U71">
        <v>0</v>
      </c>
      <c r="V71">
        <v>0</v>
      </c>
      <c r="W71" s="28" t="s">
        <v>155</v>
      </c>
      <c r="X71">
        <v>0.06</v>
      </c>
      <c r="Y71">
        <v>109.4</v>
      </c>
      <c r="Z71" t="s">
        <v>156</v>
      </c>
      <c r="AB71" s="29" t="s">
        <v>142</v>
      </c>
      <c r="AC71" s="29"/>
      <c r="AD71" t="s">
        <v>158</v>
      </c>
      <c r="AF71" t="s">
        <v>158</v>
      </c>
      <c r="AG71" s="29" t="s">
        <v>142</v>
      </c>
      <c r="AH71" s="29" t="s">
        <v>146</v>
      </c>
      <c r="AQ71">
        <v>6</v>
      </c>
      <c r="AS71" t="str">
        <f t="shared" si="0"/>
        <v>20250500|227-441873|M441873|29/04/2025|06/05/2025|14|S106|0|6627786||6|20100152356|SERV AGUA POTAB Y ALCANT DE LIMA-SEDAPAL|0|0|92.66|16.68|0|0|0|0|0.00|0.06|109.4|PEN||01/01/0001||-||-|01/01/0001|0|||||||||6|</v>
      </c>
    </row>
    <row r="72" spans="1:45" ht="15" customHeight="1" x14ac:dyDescent="0.25">
      <c r="A72">
        <v>65</v>
      </c>
      <c r="B72">
        <v>20250500</v>
      </c>
      <c r="C72" t="s">
        <v>507</v>
      </c>
      <c r="D72" t="s">
        <v>508</v>
      </c>
      <c r="E72" s="29" t="s">
        <v>151</v>
      </c>
      <c r="F72" s="29" t="s">
        <v>175</v>
      </c>
      <c r="G72" s="29" t="s">
        <v>12</v>
      </c>
      <c r="H72" s="29" t="s">
        <v>214</v>
      </c>
      <c r="I72">
        <v>0</v>
      </c>
      <c r="J72">
        <v>6625552</v>
      </c>
      <c r="L72">
        <v>6</v>
      </c>
      <c r="M72" s="29" t="s">
        <v>215</v>
      </c>
      <c r="N72" t="s">
        <v>216</v>
      </c>
      <c r="O72">
        <v>0</v>
      </c>
      <c r="P72">
        <v>0</v>
      </c>
      <c r="Q72">
        <v>2263.46</v>
      </c>
      <c r="R72">
        <v>407.42</v>
      </c>
      <c r="S72">
        <v>0</v>
      </c>
      <c r="T72">
        <v>0</v>
      </c>
      <c r="U72">
        <v>0</v>
      </c>
      <c r="V72">
        <v>0</v>
      </c>
      <c r="W72" s="28" t="s">
        <v>155</v>
      </c>
      <c r="X72">
        <v>0.02</v>
      </c>
      <c r="Y72">
        <v>2670.9</v>
      </c>
      <c r="Z72" t="s">
        <v>156</v>
      </c>
      <c r="AB72" s="29" t="s">
        <v>142</v>
      </c>
      <c r="AC72" s="29"/>
      <c r="AD72" t="s">
        <v>158</v>
      </c>
      <c r="AF72" t="s">
        <v>158</v>
      </c>
      <c r="AG72" s="29" t="s">
        <v>142</v>
      </c>
      <c r="AH72" s="29" t="s">
        <v>146</v>
      </c>
      <c r="AQ72">
        <v>6</v>
      </c>
      <c r="AS72" t="str">
        <f t="shared" si="0"/>
        <v>20250500|227-441874|M441874|29/04/2025|06/05/2025|14|S106|0|6625552||6|20100152356|SERV AGUA POTAB Y ALCANT DE LIMA-SEDAPAL|0|0|2263.46|407.42|0|0|0|0|0.00|0.02|2670.9|PEN||01/01/0001||-||-|01/01/0001|0|||||||||6|</v>
      </c>
    </row>
    <row r="73" spans="1:45" s="35" customFormat="1" ht="15" customHeight="1" x14ac:dyDescent="0.25">
      <c r="A73">
        <v>66</v>
      </c>
      <c r="B73">
        <v>20250500</v>
      </c>
      <c r="C73" t="s">
        <v>378</v>
      </c>
      <c r="D73" t="s">
        <v>379</v>
      </c>
      <c r="E73" s="29" t="s">
        <v>151</v>
      </c>
      <c r="F73" s="29" t="s">
        <v>175</v>
      </c>
      <c r="G73" s="29" t="s">
        <v>12</v>
      </c>
      <c r="H73" s="29" t="s">
        <v>214</v>
      </c>
      <c r="I73">
        <v>0</v>
      </c>
      <c r="J73">
        <v>6626557</v>
      </c>
      <c r="K73"/>
      <c r="L73">
        <v>6</v>
      </c>
      <c r="M73" s="29" t="s">
        <v>215</v>
      </c>
      <c r="N73" t="s">
        <v>216</v>
      </c>
      <c r="O73">
        <v>0</v>
      </c>
      <c r="P73">
        <v>0</v>
      </c>
      <c r="Q73">
        <v>60.26</v>
      </c>
      <c r="R73">
        <v>10.85</v>
      </c>
      <c r="S73">
        <v>0</v>
      </c>
      <c r="T73">
        <v>0</v>
      </c>
      <c r="U73">
        <v>0</v>
      </c>
      <c r="V73">
        <v>0</v>
      </c>
      <c r="W73" s="28" t="s">
        <v>155</v>
      </c>
      <c r="X73">
        <v>-0.01</v>
      </c>
      <c r="Y73">
        <v>71.099999999999994</v>
      </c>
      <c r="Z73" t="s">
        <v>156</v>
      </c>
      <c r="AA73"/>
      <c r="AB73" s="29" t="s">
        <v>142</v>
      </c>
      <c r="AC73" s="29"/>
      <c r="AD73" t="s">
        <v>158</v>
      </c>
      <c r="AE73"/>
      <c r="AF73" t="s">
        <v>158</v>
      </c>
      <c r="AG73" s="29" t="s">
        <v>142</v>
      </c>
      <c r="AH73" s="29" t="s">
        <v>146</v>
      </c>
      <c r="AI73"/>
      <c r="AJ73"/>
      <c r="AK73"/>
      <c r="AL73"/>
      <c r="AM73"/>
      <c r="AN73"/>
      <c r="AO73"/>
      <c r="AP73"/>
      <c r="AQ73">
        <v>6</v>
      </c>
      <c r="AR73"/>
      <c r="AS73" t="str">
        <f t="shared" ref="AS73:AS136" si="1">+CONCATENATE(B73,"|",C73,"|",D73,"|",E73,"|",F73,"|", G73,"|",H73,"|",I73,"|",J73,"|",K73,"|",L73,"|",M73,"|",N73,"|",O73,"|",P73,"|",Q73,"|",R73,"|",S73,"|",T73,"|", U73,"|",V73,"|",W73,"|",X73,"|",Y73,"|",Z73,"|",AA73,"|",AB73,"|", AC73,"|",AD73,"|",AE73,"|",AF73,"|",AG73,"|",AH73,"|", AI73,"|",AJ73,"|",AK73,"|",AL73,"|",AM73,"|",AN73,"|",AO73,"|",AP73,"|",AQ73,"|")</f>
        <v>20250500|227-441875|M441875|29/04/2025|06/05/2025|14|S106|0|6626557||6|20100152356|SERV AGUA POTAB Y ALCANT DE LIMA-SEDAPAL|0|0|60.26|10.85|0|0|0|0|0.00|-0.01|71.1|PEN||01/01/0001||-||-|01/01/0001|0|||||||||6|</v>
      </c>
    </row>
    <row r="74" spans="1:45" ht="15" customHeight="1" x14ac:dyDescent="0.25">
      <c r="A74">
        <v>67</v>
      </c>
      <c r="B74">
        <v>20250500</v>
      </c>
      <c r="C74" t="s">
        <v>413</v>
      </c>
      <c r="D74" t="s">
        <v>414</v>
      </c>
      <c r="E74" s="29" t="s">
        <v>151</v>
      </c>
      <c r="F74" s="29" t="s">
        <v>175</v>
      </c>
      <c r="G74" s="29" t="s">
        <v>12</v>
      </c>
      <c r="H74" s="29" t="s">
        <v>214</v>
      </c>
      <c r="I74">
        <v>0</v>
      </c>
      <c r="J74">
        <v>6627134</v>
      </c>
      <c r="L74">
        <v>6</v>
      </c>
      <c r="M74" s="29" t="s">
        <v>215</v>
      </c>
      <c r="N74" t="s">
        <v>216</v>
      </c>
      <c r="O74">
        <v>0</v>
      </c>
      <c r="P74">
        <v>0</v>
      </c>
      <c r="Q74">
        <v>276.26</v>
      </c>
      <c r="R74">
        <v>49.73</v>
      </c>
      <c r="S74">
        <v>0</v>
      </c>
      <c r="T74">
        <v>0</v>
      </c>
      <c r="U74">
        <v>0</v>
      </c>
      <c r="V74">
        <v>0</v>
      </c>
      <c r="W74" s="28" t="s">
        <v>155</v>
      </c>
      <c r="X74">
        <v>0.01</v>
      </c>
      <c r="Y74">
        <v>326</v>
      </c>
      <c r="Z74" t="s">
        <v>156</v>
      </c>
      <c r="AB74" s="29" t="s">
        <v>142</v>
      </c>
      <c r="AC74" s="29"/>
      <c r="AD74" t="s">
        <v>158</v>
      </c>
      <c r="AF74" t="s">
        <v>158</v>
      </c>
      <c r="AG74" s="29" t="s">
        <v>142</v>
      </c>
      <c r="AH74" s="29" t="s">
        <v>146</v>
      </c>
      <c r="AQ74">
        <v>6</v>
      </c>
      <c r="AS74" t="str">
        <f t="shared" si="1"/>
        <v>20250500|227-441880|M441880|29/04/2025|06/05/2025|14|S106|0|6627134||6|20100152356|SERV AGUA POTAB Y ALCANT DE LIMA-SEDAPAL|0|0|276.26|49.73|0|0|0|0|0.00|0.01|326|PEN||01/01/0001||-||-|01/01/0001|0|||||||||6|</v>
      </c>
    </row>
    <row r="75" spans="1:45" ht="15" customHeight="1" x14ac:dyDescent="0.25">
      <c r="A75">
        <v>68</v>
      </c>
      <c r="B75">
        <v>20250500</v>
      </c>
      <c r="C75" t="s">
        <v>509</v>
      </c>
      <c r="D75" t="s">
        <v>510</v>
      </c>
      <c r="E75" s="29" t="s">
        <v>151</v>
      </c>
      <c r="F75" s="29" t="s">
        <v>175</v>
      </c>
      <c r="G75" s="29" t="s">
        <v>12</v>
      </c>
      <c r="H75" s="29" t="s">
        <v>214</v>
      </c>
      <c r="I75">
        <v>0</v>
      </c>
      <c r="J75">
        <v>6626116</v>
      </c>
      <c r="L75">
        <v>6</v>
      </c>
      <c r="M75" s="29" t="s">
        <v>215</v>
      </c>
      <c r="N75" t="s">
        <v>216</v>
      </c>
      <c r="O75">
        <v>0</v>
      </c>
      <c r="P75">
        <v>0</v>
      </c>
      <c r="Q75">
        <v>6.26</v>
      </c>
      <c r="R75">
        <v>1.1299999999999999</v>
      </c>
      <c r="S75">
        <v>0</v>
      </c>
      <c r="T75">
        <v>0</v>
      </c>
      <c r="U75">
        <v>0</v>
      </c>
      <c r="V75">
        <v>0</v>
      </c>
      <c r="W75" s="28" t="s">
        <v>155</v>
      </c>
      <c r="X75">
        <v>-0.09</v>
      </c>
      <c r="Y75">
        <v>7.3</v>
      </c>
      <c r="Z75" t="s">
        <v>156</v>
      </c>
      <c r="AB75" s="29" t="s">
        <v>142</v>
      </c>
      <c r="AC75" s="29"/>
      <c r="AD75" t="s">
        <v>158</v>
      </c>
      <c r="AF75" t="s">
        <v>158</v>
      </c>
      <c r="AG75" s="29" t="s">
        <v>142</v>
      </c>
      <c r="AH75" s="29" t="s">
        <v>146</v>
      </c>
      <c r="AQ75">
        <v>6</v>
      </c>
      <c r="AS75" t="str">
        <f t="shared" si="1"/>
        <v>20250500|227-441881|M441881|29/04/2025|06/05/2025|14|S106|0|6626116||6|20100152356|SERV AGUA POTAB Y ALCANT DE LIMA-SEDAPAL|0|0|6.26|1.13|0|0|0|0|0.00|-0.09|7.3|PEN||01/01/0001||-||-|01/01/0001|0|||||||||6|</v>
      </c>
    </row>
    <row r="76" spans="1:45" ht="15" customHeight="1" x14ac:dyDescent="0.25">
      <c r="A76">
        <v>69</v>
      </c>
      <c r="B76">
        <v>20250500</v>
      </c>
      <c r="C76" t="s">
        <v>344</v>
      </c>
      <c r="D76" t="s">
        <v>345</v>
      </c>
      <c r="E76" s="29" t="s">
        <v>151</v>
      </c>
      <c r="F76" s="29" t="s">
        <v>175</v>
      </c>
      <c r="G76" s="29" t="s">
        <v>12</v>
      </c>
      <c r="H76" s="29" t="s">
        <v>214</v>
      </c>
      <c r="I76">
        <v>0</v>
      </c>
      <c r="J76">
        <v>6631912</v>
      </c>
      <c r="L76">
        <v>6</v>
      </c>
      <c r="M76" s="29" t="s">
        <v>215</v>
      </c>
      <c r="N76" t="s">
        <v>216</v>
      </c>
      <c r="O76">
        <v>0</v>
      </c>
      <c r="P76">
        <v>0</v>
      </c>
      <c r="Q76">
        <v>6.26</v>
      </c>
      <c r="R76">
        <v>1.1299999999999999</v>
      </c>
      <c r="S76">
        <v>0</v>
      </c>
      <c r="T76">
        <v>0</v>
      </c>
      <c r="U76">
        <v>0</v>
      </c>
      <c r="V76">
        <v>0</v>
      </c>
      <c r="W76" s="28" t="s">
        <v>155</v>
      </c>
      <c r="X76">
        <v>0.01</v>
      </c>
      <c r="Y76">
        <v>7.4</v>
      </c>
      <c r="Z76" t="s">
        <v>156</v>
      </c>
      <c r="AB76" s="29" t="s">
        <v>142</v>
      </c>
      <c r="AC76" s="29"/>
      <c r="AD76" t="s">
        <v>158</v>
      </c>
      <c r="AF76" t="s">
        <v>158</v>
      </c>
      <c r="AG76" s="29" t="s">
        <v>142</v>
      </c>
      <c r="AH76" s="29" t="s">
        <v>146</v>
      </c>
      <c r="AQ76">
        <v>6</v>
      </c>
      <c r="AS76" t="str">
        <f t="shared" si="1"/>
        <v>20250500|227-441882|M441882|29/04/2025|06/05/2025|14|S106|0|6631912||6|20100152356|SERV AGUA POTAB Y ALCANT DE LIMA-SEDAPAL|0|0|6.26|1.13|0|0|0|0|0.00|0.01|7.4|PEN||01/01/0001||-||-|01/01/0001|0|||||||||6|</v>
      </c>
    </row>
    <row r="77" spans="1:45" ht="15" customHeight="1" x14ac:dyDescent="0.25">
      <c r="A77">
        <v>70</v>
      </c>
      <c r="B77">
        <v>20250500</v>
      </c>
      <c r="C77" t="s">
        <v>454</v>
      </c>
      <c r="D77" t="s">
        <v>455</v>
      </c>
      <c r="E77" s="29" t="s">
        <v>151</v>
      </c>
      <c r="F77" s="29" t="s">
        <v>175</v>
      </c>
      <c r="G77" s="29" t="s">
        <v>12</v>
      </c>
      <c r="H77" s="29" t="s">
        <v>214</v>
      </c>
      <c r="I77">
        <v>0</v>
      </c>
      <c r="J77">
        <v>6626156</v>
      </c>
      <c r="L77">
        <v>6</v>
      </c>
      <c r="M77" s="29" t="s">
        <v>215</v>
      </c>
      <c r="N77" t="s">
        <v>216</v>
      </c>
      <c r="O77">
        <v>0</v>
      </c>
      <c r="P77">
        <v>0</v>
      </c>
      <c r="Q77">
        <v>17.059999999999999</v>
      </c>
      <c r="R77">
        <v>3.07</v>
      </c>
      <c r="S77">
        <v>0</v>
      </c>
      <c r="T77">
        <v>0</v>
      </c>
      <c r="U77">
        <v>0</v>
      </c>
      <c r="V77">
        <v>0</v>
      </c>
      <c r="W77" s="28" t="s">
        <v>155</v>
      </c>
      <c r="X77">
        <v>-0.03</v>
      </c>
      <c r="Y77">
        <v>20.100000000000001</v>
      </c>
      <c r="Z77" t="s">
        <v>156</v>
      </c>
      <c r="AB77" s="29" t="s">
        <v>142</v>
      </c>
      <c r="AC77" s="29"/>
      <c r="AD77" t="s">
        <v>158</v>
      </c>
      <c r="AF77" t="s">
        <v>158</v>
      </c>
      <c r="AG77" s="29" t="s">
        <v>142</v>
      </c>
      <c r="AH77" s="29" t="s">
        <v>146</v>
      </c>
      <c r="AQ77">
        <v>6</v>
      </c>
      <c r="AS77" t="str">
        <f t="shared" si="1"/>
        <v>20250500|227-441883|M441883|29/04/2025|06/05/2025|14|S106|0|6626156||6|20100152356|SERV AGUA POTAB Y ALCANT DE LIMA-SEDAPAL|0|0|17.06|3.07|0|0|0|0|0.00|-0.03|20.1|PEN||01/01/0001||-||-|01/01/0001|0|||||||||6|</v>
      </c>
    </row>
    <row r="78" spans="1:45" ht="15" customHeight="1" x14ac:dyDescent="0.25">
      <c r="A78">
        <v>71</v>
      </c>
      <c r="B78">
        <v>20250500</v>
      </c>
      <c r="C78" t="s">
        <v>297</v>
      </c>
      <c r="D78" t="s">
        <v>298</v>
      </c>
      <c r="E78" s="29" t="s">
        <v>151</v>
      </c>
      <c r="F78" s="29" t="s">
        <v>175</v>
      </c>
      <c r="G78" s="29" t="s">
        <v>12</v>
      </c>
      <c r="H78" s="29" t="s">
        <v>214</v>
      </c>
      <c r="I78">
        <v>0</v>
      </c>
      <c r="J78">
        <v>6628351</v>
      </c>
      <c r="L78">
        <v>6</v>
      </c>
      <c r="M78" s="29" t="s">
        <v>215</v>
      </c>
      <c r="N78" t="s">
        <v>216</v>
      </c>
      <c r="O78">
        <v>0</v>
      </c>
      <c r="P78">
        <v>0</v>
      </c>
      <c r="Q78">
        <v>6.26</v>
      </c>
      <c r="R78">
        <v>1.1299999999999999</v>
      </c>
      <c r="S78">
        <v>0</v>
      </c>
      <c r="T78">
        <v>0</v>
      </c>
      <c r="U78">
        <v>0</v>
      </c>
      <c r="V78">
        <v>0</v>
      </c>
      <c r="W78" s="28" t="s">
        <v>155</v>
      </c>
      <c r="X78">
        <v>-0.09</v>
      </c>
      <c r="Y78">
        <v>7.3</v>
      </c>
      <c r="Z78" t="s">
        <v>156</v>
      </c>
      <c r="AB78" s="29" t="s">
        <v>142</v>
      </c>
      <c r="AC78" s="29"/>
      <c r="AD78" t="s">
        <v>158</v>
      </c>
      <c r="AF78" t="s">
        <v>158</v>
      </c>
      <c r="AG78" s="29" t="s">
        <v>142</v>
      </c>
      <c r="AH78" s="29" t="s">
        <v>146</v>
      </c>
      <c r="AQ78">
        <v>6</v>
      </c>
      <c r="AS78" t="str">
        <f t="shared" si="1"/>
        <v>20250500|227-441884|M441884|29/04/2025|06/05/2025|14|S106|0|6628351||6|20100152356|SERV AGUA POTAB Y ALCANT DE LIMA-SEDAPAL|0|0|6.26|1.13|0|0|0|0|0.00|-0.09|7.3|PEN||01/01/0001||-||-|01/01/0001|0|||||||||6|</v>
      </c>
    </row>
    <row r="79" spans="1:45" ht="15" customHeight="1" x14ac:dyDescent="0.25">
      <c r="A79">
        <v>72</v>
      </c>
      <c r="B79">
        <v>20250500</v>
      </c>
      <c r="C79" t="s">
        <v>248</v>
      </c>
      <c r="D79" t="s">
        <v>249</v>
      </c>
      <c r="E79" s="29" t="s">
        <v>151</v>
      </c>
      <c r="F79" s="29" t="s">
        <v>175</v>
      </c>
      <c r="G79" s="29" t="s">
        <v>12</v>
      </c>
      <c r="H79" s="29" t="s">
        <v>214</v>
      </c>
      <c r="I79">
        <v>0</v>
      </c>
      <c r="J79">
        <v>6628340</v>
      </c>
      <c r="L79">
        <v>6</v>
      </c>
      <c r="M79" s="29" t="s">
        <v>215</v>
      </c>
      <c r="N79" t="s">
        <v>216</v>
      </c>
      <c r="O79">
        <v>0</v>
      </c>
      <c r="P79">
        <v>0</v>
      </c>
      <c r="Q79">
        <v>200.66</v>
      </c>
      <c r="R79">
        <v>36.119999999999997</v>
      </c>
      <c r="S79">
        <v>0</v>
      </c>
      <c r="T79">
        <v>0</v>
      </c>
      <c r="U79">
        <v>0</v>
      </c>
      <c r="V79">
        <v>0</v>
      </c>
      <c r="W79" s="28" t="s">
        <v>155</v>
      </c>
      <c r="X79">
        <v>0.02</v>
      </c>
      <c r="Y79">
        <v>236.8</v>
      </c>
      <c r="Z79" t="s">
        <v>156</v>
      </c>
      <c r="AB79" s="29" t="s">
        <v>142</v>
      </c>
      <c r="AC79" s="29"/>
      <c r="AD79" t="s">
        <v>158</v>
      </c>
      <c r="AF79" t="s">
        <v>158</v>
      </c>
      <c r="AG79" s="29" t="s">
        <v>142</v>
      </c>
      <c r="AH79" s="29" t="s">
        <v>146</v>
      </c>
      <c r="AQ79">
        <v>6</v>
      </c>
      <c r="AS79" t="str">
        <f t="shared" si="1"/>
        <v>20250500|227-441885|M441885|29/04/2025|06/05/2025|14|S106|0|6628340||6|20100152356|SERV AGUA POTAB Y ALCANT DE LIMA-SEDAPAL|0|0|200.66|36.12|0|0|0|0|0.00|0.02|236.8|PEN||01/01/0001||-||-|01/01/0001|0|||||||||6|</v>
      </c>
    </row>
    <row r="80" spans="1:45" ht="15" customHeight="1" x14ac:dyDescent="0.25">
      <c r="A80">
        <v>73</v>
      </c>
      <c r="B80">
        <v>20250500</v>
      </c>
      <c r="C80" t="s">
        <v>295</v>
      </c>
      <c r="D80" t="s">
        <v>296</v>
      </c>
      <c r="E80" s="29" t="s">
        <v>151</v>
      </c>
      <c r="F80" s="29" t="s">
        <v>175</v>
      </c>
      <c r="G80" s="29" t="s">
        <v>12</v>
      </c>
      <c r="H80" s="29" t="s">
        <v>214</v>
      </c>
      <c r="I80">
        <v>0</v>
      </c>
      <c r="J80">
        <v>6627802</v>
      </c>
      <c r="L80">
        <v>6</v>
      </c>
      <c r="M80" s="29" t="s">
        <v>215</v>
      </c>
      <c r="N80" t="s">
        <v>216</v>
      </c>
      <c r="O80">
        <v>0</v>
      </c>
      <c r="P80">
        <v>0</v>
      </c>
      <c r="Q80">
        <v>60.26</v>
      </c>
      <c r="R80">
        <v>10.85</v>
      </c>
      <c r="S80">
        <v>0</v>
      </c>
      <c r="T80">
        <v>0</v>
      </c>
      <c r="U80">
        <v>0</v>
      </c>
      <c r="V80">
        <v>0</v>
      </c>
      <c r="W80" s="28" t="s">
        <v>155</v>
      </c>
      <c r="X80">
        <v>-0.01</v>
      </c>
      <c r="Y80">
        <v>71.099999999999994</v>
      </c>
      <c r="Z80" t="s">
        <v>156</v>
      </c>
      <c r="AB80" s="29" t="s">
        <v>142</v>
      </c>
      <c r="AC80" s="29"/>
      <c r="AD80" t="s">
        <v>158</v>
      </c>
      <c r="AF80" t="s">
        <v>158</v>
      </c>
      <c r="AG80" s="29" t="s">
        <v>142</v>
      </c>
      <c r="AH80" s="29" t="s">
        <v>146</v>
      </c>
      <c r="AQ80">
        <v>6</v>
      </c>
      <c r="AS80" t="str">
        <f t="shared" si="1"/>
        <v>20250500|227-441886|M441886|29/04/2025|06/05/2025|14|S106|0|6627802||6|20100152356|SERV AGUA POTAB Y ALCANT DE LIMA-SEDAPAL|0|0|60.26|10.85|0|0|0|0|0.00|-0.01|71.1|PEN||01/01/0001||-||-|01/01/0001|0|||||||||6|</v>
      </c>
    </row>
    <row r="81" spans="1:45" ht="15" customHeight="1" x14ac:dyDescent="0.25">
      <c r="A81">
        <v>74</v>
      </c>
      <c r="B81">
        <v>20250500</v>
      </c>
      <c r="C81" t="s">
        <v>550</v>
      </c>
      <c r="D81" t="s">
        <v>551</v>
      </c>
      <c r="E81" s="29" t="s">
        <v>151</v>
      </c>
      <c r="F81" s="29" t="s">
        <v>175</v>
      </c>
      <c r="G81" s="29" t="s">
        <v>12</v>
      </c>
      <c r="H81" s="29" t="s">
        <v>214</v>
      </c>
      <c r="I81">
        <v>0</v>
      </c>
      <c r="J81">
        <v>6630058</v>
      </c>
      <c r="L81">
        <v>6</v>
      </c>
      <c r="M81" s="29" t="s">
        <v>215</v>
      </c>
      <c r="N81" t="s">
        <v>216</v>
      </c>
      <c r="O81">
        <v>0</v>
      </c>
      <c r="P81">
        <v>0</v>
      </c>
      <c r="Q81">
        <v>6.26</v>
      </c>
      <c r="R81">
        <v>1.1299999999999999</v>
      </c>
      <c r="S81">
        <v>0</v>
      </c>
      <c r="T81">
        <v>0</v>
      </c>
      <c r="U81">
        <v>0</v>
      </c>
      <c r="V81">
        <v>0</v>
      </c>
      <c r="W81" s="28" t="s">
        <v>155</v>
      </c>
      <c r="X81">
        <v>0.01</v>
      </c>
      <c r="Y81">
        <v>7.4</v>
      </c>
      <c r="Z81" t="s">
        <v>156</v>
      </c>
      <c r="AB81" s="29" t="s">
        <v>142</v>
      </c>
      <c r="AC81" s="29"/>
      <c r="AD81" t="s">
        <v>158</v>
      </c>
      <c r="AF81" t="s">
        <v>158</v>
      </c>
      <c r="AG81" s="29" t="s">
        <v>142</v>
      </c>
      <c r="AH81" s="29" t="s">
        <v>146</v>
      </c>
      <c r="AQ81">
        <v>6</v>
      </c>
      <c r="AS81" t="str">
        <f t="shared" si="1"/>
        <v>20250500|227-441887|M441887|29/04/2025|06/05/2025|14|S106|0|6630058||6|20100152356|SERV AGUA POTAB Y ALCANT DE LIMA-SEDAPAL|0|0|6.26|1.13|0|0|0|0|0.00|0.01|7.4|PEN||01/01/0001||-||-|01/01/0001|0|||||||||6|</v>
      </c>
    </row>
    <row r="82" spans="1:45" ht="15" customHeight="1" x14ac:dyDescent="0.25">
      <c r="A82">
        <v>75</v>
      </c>
      <c r="B82">
        <v>20250500</v>
      </c>
      <c r="C82" t="s">
        <v>499</v>
      </c>
      <c r="D82" t="s">
        <v>500</v>
      </c>
      <c r="E82" s="29" t="s">
        <v>287</v>
      </c>
      <c r="G82" s="29" t="s">
        <v>147</v>
      </c>
      <c r="H82" s="29" t="s">
        <v>172</v>
      </c>
      <c r="I82">
        <v>0</v>
      </c>
      <c r="J82">
        <v>4233</v>
      </c>
      <c r="L82">
        <v>6</v>
      </c>
      <c r="M82" s="29" t="s">
        <v>501</v>
      </c>
      <c r="N82" t="s">
        <v>502</v>
      </c>
      <c r="O82">
        <v>0</v>
      </c>
      <c r="P82">
        <v>0</v>
      </c>
      <c r="Q82">
        <v>262.83999999999997</v>
      </c>
      <c r="R82">
        <v>47.31</v>
      </c>
      <c r="S82">
        <v>0</v>
      </c>
      <c r="T82">
        <v>0</v>
      </c>
      <c r="U82">
        <v>0</v>
      </c>
      <c r="V82">
        <v>0</v>
      </c>
      <c r="W82" s="28" t="s">
        <v>155</v>
      </c>
      <c r="X82">
        <v>3.74</v>
      </c>
      <c r="Y82">
        <v>313.89</v>
      </c>
      <c r="Z82" t="s">
        <v>156</v>
      </c>
      <c r="AB82" s="29" t="s">
        <v>142</v>
      </c>
      <c r="AC82" s="29"/>
      <c r="AD82" t="s">
        <v>158</v>
      </c>
      <c r="AF82" t="s">
        <v>158</v>
      </c>
      <c r="AG82" s="29" t="s">
        <v>142</v>
      </c>
      <c r="AH82" s="29" t="s">
        <v>146</v>
      </c>
      <c r="AQ82">
        <v>6</v>
      </c>
      <c r="AS82" t="str">
        <f t="shared" si="1"/>
        <v>20250500|227-441888|M441888|14/01/2025||01|F002|0|4233||6|20557171178|INVERSIONES LAMBORE S.A.C.|0|0|262.84|47.31|0|0|0|0|0.00|3.74|313.89|PEN||01/01/0001||-||-|01/01/0001|0|||||||||6|</v>
      </c>
    </row>
    <row r="83" spans="1:45" s="35" customFormat="1" ht="15" customHeight="1" x14ac:dyDescent="0.25">
      <c r="A83">
        <v>76</v>
      </c>
      <c r="B83">
        <v>20250500</v>
      </c>
      <c r="C83" t="s">
        <v>299</v>
      </c>
      <c r="D83" t="s">
        <v>300</v>
      </c>
      <c r="E83" s="29" t="s">
        <v>151</v>
      </c>
      <c r="F83" s="29" t="s">
        <v>175</v>
      </c>
      <c r="G83" s="29" t="s">
        <v>12</v>
      </c>
      <c r="H83" s="29" t="s">
        <v>301</v>
      </c>
      <c r="I83">
        <v>0</v>
      </c>
      <c r="J83">
        <v>68589</v>
      </c>
      <c r="K83"/>
      <c r="L83">
        <v>6</v>
      </c>
      <c r="M83" s="29" t="s">
        <v>181</v>
      </c>
      <c r="N83" t="s">
        <v>182</v>
      </c>
      <c r="O83">
        <v>0</v>
      </c>
      <c r="P83">
        <v>0</v>
      </c>
      <c r="Q83">
        <v>153.75</v>
      </c>
      <c r="R83">
        <v>27.68</v>
      </c>
      <c r="S83">
        <v>0</v>
      </c>
      <c r="T83">
        <v>0</v>
      </c>
      <c r="U83">
        <v>0</v>
      </c>
      <c r="V83">
        <v>0</v>
      </c>
      <c r="W83" s="28" t="s">
        <v>155</v>
      </c>
      <c r="X83">
        <v>2.27</v>
      </c>
      <c r="Y83">
        <v>183.7</v>
      </c>
      <c r="Z83" t="s">
        <v>156</v>
      </c>
      <c r="AA83"/>
      <c r="AB83" s="29" t="s">
        <v>142</v>
      </c>
      <c r="AC83" s="29"/>
      <c r="AD83" t="s">
        <v>158</v>
      </c>
      <c r="AE83"/>
      <c r="AF83" t="s">
        <v>158</v>
      </c>
      <c r="AG83" s="29" t="s">
        <v>142</v>
      </c>
      <c r="AH83" s="29" t="s">
        <v>146</v>
      </c>
      <c r="AI83"/>
      <c r="AJ83"/>
      <c r="AK83"/>
      <c r="AL83"/>
      <c r="AM83"/>
      <c r="AN83"/>
      <c r="AO83"/>
      <c r="AP83"/>
      <c r="AQ83">
        <v>6</v>
      </c>
      <c r="AR83"/>
      <c r="AS83" t="str">
        <f t="shared" si="1"/>
        <v>20250500|227-441890|M441890|29/04/2025|06/05/2025|14|S119|0|68589||6|20331898008|LUZ DEL SUR S.A.A|0|0|153.75|27.68|0|0|0|0|0.00|2.27|183.7|PEN||01/01/0001||-||-|01/01/0001|0|||||||||6|</v>
      </c>
    </row>
    <row r="84" spans="1:45" ht="15" customHeight="1" x14ac:dyDescent="0.25">
      <c r="A84">
        <v>77</v>
      </c>
      <c r="B84">
        <v>20250500</v>
      </c>
      <c r="C84" t="s">
        <v>519</v>
      </c>
      <c r="D84" t="s">
        <v>520</v>
      </c>
      <c r="E84" s="29" t="s">
        <v>222</v>
      </c>
      <c r="G84" s="29" t="s">
        <v>147</v>
      </c>
      <c r="H84" s="29" t="s">
        <v>229</v>
      </c>
      <c r="I84">
        <v>0</v>
      </c>
      <c r="J84">
        <v>52027</v>
      </c>
      <c r="L84">
        <v>6</v>
      </c>
      <c r="M84" s="29" t="s">
        <v>521</v>
      </c>
      <c r="N84" t="s">
        <v>522</v>
      </c>
      <c r="O84">
        <v>0</v>
      </c>
      <c r="P84">
        <v>0</v>
      </c>
      <c r="Q84">
        <v>67.8</v>
      </c>
      <c r="R84">
        <v>12.2</v>
      </c>
      <c r="S84">
        <v>0</v>
      </c>
      <c r="T84">
        <v>0</v>
      </c>
      <c r="U84">
        <v>0</v>
      </c>
      <c r="V84">
        <v>0</v>
      </c>
      <c r="W84" s="28" t="s">
        <v>155</v>
      </c>
      <c r="X84">
        <v>0</v>
      </c>
      <c r="Y84">
        <v>80</v>
      </c>
      <c r="Z84" t="s">
        <v>156</v>
      </c>
      <c r="AB84" s="29" t="s">
        <v>142</v>
      </c>
      <c r="AC84" s="29"/>
      <c r="AD84" t="s">
        <v>158</v>
      </c>
      <c r="AF84" t="s">
        <v>158</v>
      </c>
      <c r="AG84" s="29" t="s">
        <v>142</v>
      </c>
      <c r="AH84" s="29" t="s">
        <v>146</v>
      </c>
      <c r="AQ84">
        <v>6</v>
      </c>
      <c r="AS84" t="str">
        <f t="shared" si="1"/>
        <v>20250500|227-441891|M441891|28/03/2025||01|FE01|0|52027||6|10294455324|VELA VELASQUEZ RULBI JUANA|0|0|67.8|12.2|0|0|0|0|0.00|0|80|PEN||01/01/0001||-||-|01/01/0001|0|||||||||6|</v>
      </c>
    </row>
    <row r="85" spans="1:45" ht="15" customHeight="1" x14ac:dyDescent="0.25">
      <c r="A85">
        <v>78</v>
      </c>
      <c r="B85">
        <v>20250500</v>
      </c>
      <c r="C85" t="s">
        <v>491</v>
      </c>
      <c r="D85" t="s">
        <v>492</v>
      </c>
      <c r="E85" s="29" t="s">
        <v>152</v>
      </c>
      <c r="F85" s="29" t="s">
        <v>175</v>
      </c>
      <c r="G85" s="29" t="s">
        <v>12</v>
      </c>
      <c r="H85" s="29" t="s">
        <v>250</v>
      </c>
      <c r="I85">
        <v>0</v>
      </c>
      <c r="J85">
        <v>7491</v>
      </c>
      <c r="L85">
        <v>6</v>
      </c>
      <c r="M85" s="29" t="s">
        <v>181</v>
      </c>
      <c r="N85" t="s">
        <v>182</v>
      </c>
      <c r="O85">
        <v>0</v>
      </c>
      <c r="P85">
        <v>0</v>
      </c>
      <c r="Q85">
        <v>93353.11</v>
      </c>
      <c r="R85">
        <v>16803.560000000001</v>
      </c>
      <c r="S85">
        <v>0</v>
      </c>
      <c r="T85">
        <v>0</v>
      </c>
      <c r="U85">
        <v>0</v>
      </c>
      <c r="V85">
        <v>0</v>
      </c>
      <c r="W85" s="28" t="s">
        <v>155</v>
      </c>
      <c r="X85">
        <v>2253.9299999999998</v>
      </c>
      <c r="Y85">
        <v>112410.6</v>
      </c>
      <c r="Z85" t="s">
        <v>156</v>
      </c>
      <c r="AB85" s="29" t="s">
        <v>142</v>
      </c>
      <c r="AC85" s="29"/>
      <c r="AD85" t="s">
        <v>158</v>
      </c>
      <c r="AF85" t="s">
        <v>158</v>
      </c>
      <c r="AG85" s="29" t="s">
        <v>142</v>
      </c>
      <c r="AH85" s="29" t="s">
        <v>146</v>
      </c>
      <c r="AQ85">
        <v>6</v>
      </c>
      <c r="AS85" t="str">
        <f t="shared" si="1"/>
        <v>20250500|227-441893|M441893|30/04/2025|06/05/2025|14|S130|0|7491||6|20331898008|LUZ DEL SUR S.A.A|0|0|93353.11|16803.56|0|0|0|0|0.00|2253.93|112410.6|PEN||01/01/0001||-||-|01/01/0001|0|||||||||6|</v>
      </c>
    </row>
    <row r="86" spans="1:45" ht="15" customHeight="1" x14ac:dyDescent="0.25">
      <c r="A86">
        <v>79</v>
      </c>
      <c r="B86">
        <v>20250500</v>
      </c>
      <c r="C86" t="s">
        <v>476</v>
      </c>
      <c r="D86" t="s">
        <v>477</v>
      </c>
      <c r="E86" s="29" t="s">
        <v>171</v>
      </c>
      <c r="G86" s="29" t="s">
        <v>147</v>
      </c>
      <c r="H86" s="29" t="s">
        <v>159</v>
      </c>
      <c r="I86">
        <v>0</v>
      </c>
      <c r="J86">
        <v>207</v>
      </c>
      <c r="L86">
        <v>6</v>
      </c>
      <c r="M86" s="29" t="s">
        <v>423</v>
      </c>
      <c r="N86" t="s">
        <v>424</v>
      </c>
      <c r="O86">
        <v>0</v>
      </c>
      <c r="P86">
        <v>0</v>
      </c>
      <c r="Q86">
        <v>55.08</v>
      </c>
      <c r="R86">
        <v>9.92</v>
      </c>
      <c r="S86">
        <v>0</v>
      </c>
      <c r="T86">
        <v>0</v>
      </c>
      <c r="U86">
        <v>0</v>
      </c>
      <c r="V86">
        <v>0</v>
      </c>
      <c r="W86" s="28" t="s">
        <v>155</v>
      </c>
      <c r="X86">
        <v>0</v>
      </c>
      <c r="Y86">
        <v>65</v>
      </c>
      <c r="Z86" t="s">
        <v>156</v>
      </c>
      <c r="AB86" s="29" t="s">
        <v>142</v>
      </c>
      <c r="AC86" s="29"/>
      <c r="AD86" t="s">
        <v>158</v>
      </c>
      <c r="AF86" t="s">
        <v>158</v>
      </c>
      <c r="AG86" s="29" t="s">
        <v>142</v>
      </c>
      <c r="AH86" s="29" t="s">
        <v>146</v>
      </c>
      <c r="AQ86">
        <v>6</v>
      </c>
      <c r="AS86" t="str">
        <f t="shared" si="1"/>
        <v>20250500|227-441894-7-7|M441894-7|26/03/2025||01|E001|0|207||6|10449151351|CHAVARRIA GUTIERREZ HONORIO LUCIANO|0|0|55.08|9.92|0|0|0|0|0.00|0|65|PEN||01/01/0001||-||-|01/01/0001|0|||||||||6|</v>
      </c>
    </row>
    <row r="87" spans="1:45" ht="15" customHeight="1" x14ac:dyDescent="0.25">
      <c r="A87">
        <v>80</v>
      </c>
      <c r="B87">
        <v>20250500</v>
      </c>
      <c r="C87" t="s">
        <v>460</v>
      </c>
      <c r="D87" t="s">
        <v>461</v>
      </c>
      <c r="E87" s="29" t="s">
        <v>165</v>
      </c>
      <c r="F87" s="29" t="s">
        <v>175</v>
      </c>
      <c r="G87" s="29" t="s">
        <v>12</v>
      </c>
      <c r="H87" s="29" t="s">
        <v>307</v>
      </c>
      <c r="I87">
        <v>0</v>
      </c>
      <c r="J87">
        <v>15340</v>
      </c>
      <c r="L87">
        <v>6</v>
      </c>
      <c r="M87" s="29" t="s">
        <v>181</v>
      </c>
      <c r="N87" t="s">
        <v>182</v>
      </c>
      <c r="O87">
        <v>0</v>
      </c>
      <c r="P87">
        <v>0</v>
      </c>
      <c r="Q87">
        <v>325.49</v>
      </c>
      <c r="R87">
        <v>58.58</v>
      </c>
      <c r="S87">
        <v>0</v>
      </c>
      <c r="T87">
        <v>0</v>
      </c>
      <c r="U87">
        <v>0</v>
      </c>
      <c r="V87">
        <v>0</v>
      </c>
      <c r="W87" s="28" t="s">
        <v>155</v>
      </c>
      <c r="X87">
        <v>5.03</v>
      </c>
      <c r="Y87">
        <v>389.1</v>
      </c>
      <c r="Z87" t="s">
        <v>156</v>
      </c>
      <c r="AB87" s="29" t="s">
        <v>142</v>
      </c>
      <c r="AC87" s="29"/>
      <c r="AD87" t="s">
        <v>158</v>
      </c>
      <c r="AF87" t="s">
        <v>158</v>
      </c>
      <c r="AG87" s="29" t="s">
        <v>142</v>
      </c>
      <c r="AH87" s="29" t="s">
        <v>146</v>
      </c>
      <c r="AQ87">
        <v>6</v>
      </c>
      <c r="AS87" t="str">
        <f t="shared" si="1"/>
        <v>20250500|227-441895|M441895|28/04/2025|06/05/2025|14|S118|0|15340||6|20331898008|LUZ DEL SUR S.A.A|0|0|325.49|58.58|0|0|0|0|0.00|5.03|389.1|PEN||01/01/0001||-||-|01/01/0001|0|||||||||6|</v>
      </c>
    </row>
    <row r="88" spans="1:45" ht="15" customHeight="1" x14ac:dyDescent="0.25">
      <c r="A88">
        <v>81</v>
      </c>
      <c r="B88">
        <v>20250500</v>
      </c>
      <c r="C88" t="s">
        <v>305</v>
      </c>
      <c r="D88" t="s">
        <v>306</v>
      </c>
      <c r="E88" s="29" t="s">
        <v>165</v>
      </c>
      <c r="F88" s="29" t="s">
        <v>175</v>
      </c>
      <c r="G88" s="29" t="s">
        <v>12</v>
      </c>
      <c r="H88" s="29" t="s">
        <v>307</v>
      </c>
      <c r="I88">
        <v>0</v>
      </c>
      <c r="J88">
        <v>56086</v>
      </c>
      <c r="L88">
        <v>6</v>
      </c>
      <c r="M88" s="29" t="s">
        <v>181</v>
      </c>
      <c r="N88" t="s">
        <v>182</v>
      </c>
      <c r="O88">
        <v>0</v>
      </c>
      <c r="P88">
        <v>0</v>
      </c>
      <c r="Q88">
        <v>339.82</v>
      </c>
      <c r="R88">
        <v>61.16</v>
      </c>
      <c r="S88">
        <v>0</v>
      </c>
      <c r="T88">
        <v>0</v>
      </c>
      <c r="U88">
        <v>0</v>
      </c>
      <c r="V88">
        <v>0</v>
      </c>
      <c r="W88" s="28" t="s">
        <v>155</v>
      </c>
      <c r="X88">
        <v>5.22</v>
      </c>
      <c r="Y88">
        <v>406.2</v>
      </c>
      <c r="Z88" t="s">
        <v>156</v>
      </c>
      <c r="AB88" s="29" t="s">
        <v>142</v>
      </c>
      <c r="AC88" s="29"/>
      <c r="AD88" t="s">
        <v>158</v>
      </c>
      <c r="AF88" t="s">
        <v>158</v>
      </c>
      <c r="AG88" s="29" t="s">
        <v>142</v>
      </c>
      <c r="AH88" s="29" t="s">
        <v>146</v>
      </c>
      <c r="AQ88">
        <v>6</v>
      </c>
      <c r="AS88" t="str">
        <f t="shared" si="1"/>
        <v>20250500|227-441896|M441896|28/04/2025|06/05/2025|14|S118|0|56086||6|20331898008|LUZ DEL SUR S.A.A|0|0|339.82|61.16|0|0|0|0|0.00|5.22|406.2|PEN||01/01/0001||-||-|01/01/0001|0|||||||||6|</v>
      </c>
    </row>
    <row r="89" spans="1:45" ht="15" customHeight="1" x14ac:dyDescent="0.25">
      <c r="A89">
        <v>82</v>
      </c>
      <c r="B89">
        <v>20250500</v>
      </c>
      <c r="C89" t="s">
        <v>276</v>
      </c>
      <c r="D89" t="s">
        <v>277</v>
      </c>
      <c r="E89" s="29" t="s">
        <v>225</v>
      </c>
      <c r="F89" s="29" t="s">
        <v>175</v>
      </c>
      <c r="G89" s="29" t="s">
        <v>12</v>
      </c>
      <c r="H89" s="29" t="s">
        <v>278</v>
      </c>
      <c r="I89">
        <v>0</v>
      </c>
      <c r="J89">
        <v>56532</v>
      </c>
      <c r="L89">
        <v>6</v>
      </c>
      <c r="M89" s="29" t="s">
        <v>181</v>
      </c>
      <c r="N89" t="s">
        <v>182</v>
      </c>
      <c r="O89">
        <v>0</v>
      </c>
      <c r="P89">
        <v>0</v>
      </c>
      <c r="Q89">
        <v>298.58</v>
      </c>
      <c r="R89">
        <v>53.74</v>
      </c>
      <c r="S89">
        <v>0</v>
      </c>
      <c r="T89">
        <v>0</v>
      </c>
      <c r="U89">
        <v>0</v>
      </c>
      <c r="V89">
        <v>0</v>
      </c>
      <c r="W89" s="28" t="s">
        <v>155</v>
      </c>
      <c r="X89">
        <v>4.58</v>
      </c>
      <c r="Y89">
        <v>356.9</v>
      </c>
      <c r="Z89" t="s">
        <v>156</v>
      </c>
      <c r="AB89" s="29" t="s">
        <v>142</v>
      </c>
      <c r="AC89" s="29"/>
      <c r="AD89" t="s">
        <v>158</v>
      </c>
      <c r="AF89" t="s">
        <v>158</v>
      </c>
      <c r="AG89" s="29" t="s">
        <v>142</v>
      </c>
      <c r="AH89" s="29" t="s">
        <v>146</v>
      </c>
      <c r="AQ89">
        <v>6</v>
      </c>
      <c r="AS89" t="str">
        <f t="shared" si="1"/>
        <v>20250500|227-441897|M441897|26/04/2025|06/05/2025|14|S117|0|56532||6|20331898008|LUZ DEL SUR S.A.A|0|0|298.58|53.74|0|0|0|0|0.00|4.58|356.9|PEN||01/01/0001||-||-|01/01/0001|0|||||||||6|</v>
      </c>
    </row>
    <row r="90" spans="1:45" ht="15" customHeight="1" x14ac:dyDescent="0.25">
      <c r="A90">
        <v>83</v>
      </c>
      <c r="B90">
        <v>20250500</v>
      </c>
      <c r="C90" t="s">
        <v>284</v>
      </c>
      <c r="D90" t="s">
        <v>285</v>
      </c>
      <c r="E90" s="29" t="s">
        <v>152</v>
      </c>
      <c r="F90" s="29" t="s">
        <v>175</v>
      </c>
      <c r="G90" s="29" t="s">
        <v>12</v>
      </c>
      <c r="H90" s="29" t="s">
        <v>286</v>
      </c>
      <c r="I90">
        <v>0</v>
      </c>
      <c r="J90">
        <v>8</v>
      </c>
      <c r="L90">
        <v>6</v>
      </c>
      <c r="M90" s="29" t="s">
        <v>181</v>
      </c>
      <c r="N90" t="s">
        <v>182</v>
      </c>
      <c r="O90">
        <v>0</v>
      </c>
      <c r="P90">
        <v>0</v>
      </c>
      <c r="Q90">
        <v>307421.15999999997</v>
      </c>
      <c r="R90">
        <v>55335.81</v>
      </c>
      <c r="S90">
        <v>0</v>
      </c>
      <c r="T90">
        <v>0</v>
      </c>
      <c r="U90">
        <v>0</v>
      </c>
      <c r="V90">
        <v>0</v>
      </c>
      <c r="W90" s="28" t="s">
        <v>155</v>
      </c>
      <c r="X90">
        <v>7169.63</v>
      </c>
      <c r="Y90">
        <v>369926.6</v>
      </c>
      <c r="Z90" t="s">
        <v>156</v>
      </c>
      <c r="AB90" s="29" t="s">
        <v>142</v>
      </c>
      <c r="AC90" s="29"/>
      <c r="AD90" t="s">
        <v>158</v>
      </c>
      <c r="AF90" t="s">
        <v>158</v>
      </c>
      <c r="AG90" s="29" t="s">
        <v>142</v>
      </c>
      <c r="AH90" s="29" t="s">
        <v>146</v>
      </c>
      <c r="AQ90">
        <v>6</v>
      </c>
      <c r="AS90" t="str">
        <f t="shared" si="1"/>
        <v>20250500|227-441898|M441898|30/04/2025|06/05/2025|14|S134|0|8||6|20331898008|LUZ DEL SUR S.A.A|0|0|307421.16|55335.81|0|0|0|0|0.00|7169.63|369926.6|PEN||01/01/0001||-||-|01/01/0001|0|||||||||6|</v>
      </c>
    </row>
    <row r="91" spans="1:45" ht="15" customHeight="1" x14ac:dyDescent="0.25">
      <c r="A91">
        <v>84</v>
      </c>
      <c r="B91">
        <v>20250500</v>
      </c>
      <c r="C91" t="s">
        <v>425</v>
      </c>
      <c r="D91" t="s">
        <v>426</v>
      </c>
      <c r="E91" s="29" t="s">
        <v>171</v>
      </c>
      <c r="G91" s="29" t="s">
        <v>147</v>
      </c>
      <c r="H91" s="29" t="s">
        <v>159</v>
      </c>
      <c r="I91">
        <v>0</v>
      </c>
      <c r="J91">
        <v>7408</v>
      </c>
      <c r="L91">
        <v>6</v>
      </c>
      <c r="M91" s="29" t="s">
        <v>427</v>
      </c>
      <c r="N91" t="s">
        <v>428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40</v>
      </c>
      <c r="V91">
        <v>0</v>
      </c>
      <c r="W91" s="28" t="s">
        <v>155</v>
      </c>
      <c r="X91">
        <v>0</v>
      </c>
      <c r="Y91">
        <v>40</v>
      </c>
      <c r="Z91" t="s">
        <v>156</v>
      </c>
      <c r="AB91" s="29" t="s">
        <v>142</v>
      </c>
      <c r="AC91" s="29"/>
      <c r="AD91" t="s">
        <v>158</v>
      </c>
      <c r="AF91" t="s">
        <v>158</v>
      </c>
      <c r="AG91" s="29" t="s">
        <v>142</v>
      </c>
      <c r="AH91" s="29" t="s">
        <v>146</v>
      </c>
      <c r="AQ91">
        <v>0</v>
      </c>
      <c r="AS91" t="str">
        <f t="shared" si="1"/>
        <v>20250500|227-441899-11-11|M441899-11|26/03/2025||01|E001|0|7408||6|20609264111|EMPRESA DE TAXIS PROTTAC PERU SOCIEDAD ANONIMA|0|0|0|0|0|0|40|0|0.00|0|40|PEN||01/01/0001||-||-|01/01/0001|0|||||||||0|</v>
      </c>
    </row>
    <row r="92" spans="1:45" ht="15" customHeight="1" x14ac:dyDescent="0.25">
      <c r="A92">
        <v>85</v>
      </c>
      <c r="B92">
        <v>20250500</v>
      </c>
      <c r="C92" t="s">
        <v>199</v>
      </c>
      <c r="D92" t="s">
        <v>200</v>
      </c>
      <c r="E92" s="29" t="s">
        <v>171</v>
      </c>
      <c r="G92" s="29" t="s">
        <v>147</v>
      </c>
      <c r="H92" s="29" t="s">
        <v>159</v>
      </c>
      <c r="I92">
        <v>0</v>
      </c>
      <c r="J92">
        <v>2818</v>
      </c>
      <c r="L92">
        <v>6</v>
      </c>
      <c r="M92" s="29" t="s">
        <v>201</v>
      </c>
      <c r="N92" t="s">
        <v>202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60</v>
      </c>
      <c r="V92">
        <v>0</v>
      </c>
      <c r="W92" s="28" t="s">
        <v>155</v>
      </c>
      <c r="X92">
        <v>0</v>
      </c>
      <c r="Y92">
        <v>60</v>
      </c>
      <c r="Z92" t="s">
        <v>156</v>
      </c>
      <c r="AB92" s="29" t="s">
        <v>142</v>
      </c>
      <c r="AC92" s="29"/>
      <c r="AD92" t="s">
        <v>158</v>
      </c>
      <c r="AF92" t="s">
        <v>158</v>
      </c>
      <c r="AG92" s="29" t="s">
        <v>142</v>
      </c>
      <c r="AH92" s="29" t="s">
        <v>146</v>
      </c>
      <c r="AQ92">
        <v>0</v>
      </c>
      <c r="AS92" t="str">
        <f t="shared" si="1"/>
        <v>20250500|227-441899-12-12|M441899-12|26/03/2025||01|E001|0|2818||6|20611218941|SERVICIO DE TAXI AEROPUERTO S.A.C.|0|0|0|0|0|0|60|0|0.00|0|60|PEN||01/01/0001||-||-|01/01/0001|0|||||||||0|</v>
      </c>
    </row>
    <row r="93" spans="1:45" ht="15" customHeight="1" x14ac:dyDescent="0.25">
      <c r="A93">
        <v>86</v>
      </c>
      <c r="B93">
        <v>20250500</v>
      </c>
      <c r="C93" t="s">
        <v>525</v>
      </c>
      <c r="D93" t="s">
        <v>526</v>
      </c>
      <c r="E93" s="29" t="s">
        <v>232</v>
      </c>
      <c r="G93" s="29" t="s">
        <v>147</v>
      </c>
      <c r="H93" s="29" t="s">
        <v>159</v>
      </c>
      <c r="I93">
        <v>0</v>
      </c>
      <c r="J93">
        <v>125</v>
      </c>
      <c r="L93">
        <v>6</v>
      </c>
      <c r="M93" s="29" t="s">
        <v>527</v>
      </c>
      <c r="N93" t="s">
        <v>528</v>
      </c>
      <c r="O93">
        <v>0</v>
      </c>
      <c r="P93">
        <v>0</v>
      </c>
      <c r="Q93">
        <v>50.85</v>
      </c>
      <c r="R93">
        <v>9.15</v>
      </c>
      <c r="S93">
        <v>0</v>
      </c>
      <c r="T93">
        <v>0</v>
      </c>
      <c r="U93">
        <v>0</v>
      </c>
      <c r="V93">
        <v>0</v>
      </c>
      <c r="W93" s="28" t="s">
        <v>155</v>
      </c>
      <c r="X93">
        <v>0</v>
      </c>
      <c r="Y93">
        <v>60</v>
      </c>
      <c r="Z93" t="s">
        <v>156</v>
      </c>
      <c r="AB93" s="29" t="s">
        <v>142</v>
      </c>
      <c r="AC93" s="29"/>
      <c r="AD93" t="s">
        <v>158</v>
      </c>
      <c r="AF93" t="s">
        <v>158</v>
      </c>
      <c r="AG93" s="29" t="s">
        <v>142</v>
      </c>
      <c r="AH93" s="29" t="s">
        <v>146</v>
      </c>
      <c r="AQ93">
        <v>6</v>
      </c>
      <c r="AS93" t="str">
        <f t="shared" si="1"/>
        <v>20250500|227-441899-13-13|M441899-13|29/03/2025||01|E001|0|125||6|20606853620|VILELA ING. CONTRATISTAS GENERALES S.A.C|0|0|50.85|9.15|0|0|0|0|0.00|0|60|PEN||01/01/0001||-||-|01/01/0001|0|||||||||6|</v>
      </c>
    </row>
    <row r="94" spans="1:45" ht="15" customHeight="1" x14ac:dyDescent="0.25">
      <c r="A94">
        <v>87</v>
      </c>
      <c r="B94">
        <v>20250500</v>
      </c>
      <c r="C94" t="s">
        <v>288</v>
      </c>
      <c r="D94" t="s">
        <v>289</v>
      </c>
      <c r="E94" s="29" t="s">
        <v>290</v>
      </c>
      <c r="G94" s="29" t="s">
        <v>147</v>
      </c>
      <c r="H94" s="29" t="s">
        <v>157</v>
      </c>
      <c r="I94">
        <v>0</v>
      </c>
      <c r="J94">
        <v>288930</v>
      </c>
      <c r="L94">
        <v>6</v>
      </c>
      <c r="M94" s="29" t="s">
        <v>160</v>
      </c>
      <c r="N94" t="s">
        <v>161</v>
      </c>
      <c r="O94">
        <v>0</v>
      </c>
      <c r="P94">
        <v>0</v>
      </c>
      <c r="Q94">
        <v>1792.81</v>
      </c>
      <c r="R94">
        <v>322.70999999999998</v>
      </c>
      <c r="S94">
        <v>0</v>
      </c>
      <c r="T94">
        <v>0</v>
      </c>
      <c r="U94">
        <v>0</v>
      </c>
      <c r="V94">
        <v>0</v>
      </c>
      <c r="W94" s="28" t="s">
        <v>155</v>
      </c>
      <c r="X94">
        <v>0</v>
      </c>
      <c r="Y94">
        <v>2115.52</v>
      </c>
      <c r="Z94" t="s">
        <v>156</v>
      </c>
      <c r="AB94" s="29" t="s">
        <v>142</v>
      </c>
      <c r="AC94" s="29"/>
      <c r="AD94" t="s">
        <v>158</v>
      </c>
      <c r="AF94" t="s">
        <v>158</v>
      </c>
      <c r="AG94" s="29" t="s">
        <v>183</v>
      </c>
      <c r="AH94" s="29" t="s">
        <v>291</v>
      </c>
      <c r="AQ94">
        <v>6</v>
      </c>
      <c r="AS94" t="str">
        <f t="shared" si="1"/>
        <v>20250500|227-441901|M441901|26/06/2024||01|F001|0|288930||6|20519398169|PATRIMONIO EN FIDEICOMISO D.S Nｰ093-2002-EF INTERPROPERTIES |0|0|1792.81|322.71|0|0|0|0|0.00|0|2115.52|PEN||01/01/0001||-||-|09/05/2025|269536769|||||||||6|</v>
      </c>
    </row>
    <row r="95" spans="1:45" ht="15" customHeight="1" x14ac:dyDescent="0.25">
      <c r="A95">
        <v>88</v>
      </c>
      <c r="B95">
        <v>20250500</v>
      </c>
      <c r="C95" t="s">
        <v>466</v>
      </c>
      <c r="D95" t="s">
        <v>467</v>
      </c>
      <c r="E95" s="29" t="s">
        <v>176</v>
      </c>
      <c r="G95" s="29" t="s">
        <v>147</v>
      </c>
      <c r="H95" s="29" t="s">
        <v>157</v>
      </c>
      <c r="I95">
        <v>0</v>
      </c>
      <c r="J95">
        <v>139</v>
      </c>
      <c r="L95">
        <v>6</v>
      </c>
      <c r="M95" s="29" t="s">
        <v>468</v>
      </c>
      <c r="N95" t="s">
        <v>469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47</v>
      </c>
      <c r="V95">
        <v>0</v>
      </c>
      <c r="W95" s="28" t="s">
        <v>155</v>
      </c>
      <c r="X95">
        <v>0</v>
      </c>
      <c r="Y95">
        <v>47</v>
      </c>
      <c r="Z95" t="s">
        <v>156</v>
      </c>
      <c r="AB95" s="29" t="s">
        <v>142</v>
      </c>
      <c r="AC95" s="29"/>
      <c r="AD95" t="s">
        <v>158</v>
      </c>
      <c r="AF95" t="s">
        <v>158</v>
      </c>
      <c r="AG95" s="29" t="s">
        <v>142</v>
      </c>
      <c r="AH95" s="29" t="s">
        <v>146</v>
      </c>
      <c r="AQ95">
        <v>0</v>
      </c>
      <c r="AS95" t="str">
        <f t="shared" si="1"/>
        <v>20250500|227-441902-11-11|M441902-11|10/04/2025||01|F001|0|139||6|20613048678|NUVA PIZZAMIA IQUITOS S.A.C.|0|0|0|0|0|0|47|0|0.00|0|47|PEN||01/01/0001||-||-|01/01/0001|0|||||||||0|</v>
      </c>
    </row>
    <row r="96" spans="1:45" ht="15" customHeight="1" x14ac:dyDescent="0.25">
      <c r="A96">
        <v>89</v>
      </c>
      <c r="B96">
        <v>20250500</v>
      </c>
      <c r="C96" t="s">
        <v>451</v>
      </c>
      <c r="D96" t="s">
        <v>452</v>
      </c>
      <c r="E96" s="29" t="s">
        <v>153</v>
      </c>
      <c r="G96" s="29" t="s">
        <v>147</v>
      </c>
      <c r="H96" s="29" t="s">
        <v>198</v>
      </c>
      <c r="I96">
        <v>0</v>
      </c>
      <c r="J96">
        <v>11181</v>
      </c>
      <c r="L96">
        <v>6</v>
      </c>
      <c r="M96" s="29" t="s">
        <v>350</v>
      </c>
      <c r="N96" t="s">
        <v>351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51</v>
      </c>
      <c r="V96">
        <v>0</v>
      </c>
      <c r="W96" s="28" t="s">
        <v>155</v>
      </c>
      <c r="X96">
        <v>0</v>
      </c>
      <c r="Y96">
        <v>51</v>
      </c>
      <c r="Z96" t="s">
        <v>156</v>
      </c>
      <c r="AB96" s="29" t="s">
        <v>142</v>
      </c>
      <c r="AC96" s="29"/>
      <c r="AD96" t="s">
        <v>158</v>
      </c>
      <c r="AF96" t="s">
        <v>158</v>
      </c>
      <c r="AG96" s="29" t="s">
        <v>142</v>
      </c>
      <c r="AH96" s="29" t="s">
        <v>146</v>
      </c>
      <c r="AQ96">
        <v>0</v>
      </c>
      <c r="AS96" t="str">
        <f t="shared" si="1"/>
        <v>20250500|227-441902-16-16|M441902-16|11/04/2025||01|F011|0|11181||6|20541192833|INVERSIONES BGG ORIENTE SAC|0|0|0|0|0|0|51|0|0.00|0|51|PEN||01/01/0001||-||-|01/01/0001|0|||||||||0|</v>
      </c>
    </row>
    <row r="97" spans="1:45" ht="15" customHeight="1" x14ac:dyDescent="0.25">
      <c r="A97">
        <v>90</v>
      </c>
      <c r="B97">
        <v>20250500</v>
      </c>
      <c r="C97" t="s">
        <v>374</v>
      </c>
      <c r="D97" t="s">
        <v>375</v>
      </c>
      <c r="E97" s="29" t="s">
        <v>153</v>
      </c>
      <c r="G97" s="29" t="s">
        <v>147</v>
      </c>
      <c r="H97" s="29" t="s">
        <v>159</v>
      </c>
      <c r="I97">
        <v>0</v>
      </c>
      <c r="J97">
        <v>4666</v>
      </c>
      <c r="L97">
        <v>6</v>
      </c>
      <c r="M97" s="29" t="s">
        <v>376</v>
      </c>
      <c r="N97" t="s">
        <v>377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378</v>
      </c>
      <c r="V97">
        <v>0</v>
      </c>
      <c r="W97" s="28" t="s">
        <v>155</v>
      </c>
      <c r="X97">
        <v>0</v>
      </c>
      <c r="Y97">
        <v>378</v>
      </c>
      <c r="Z97" t="s">
        <v>156</v>
      </c>
      <c r="AB97" s="29" t="s">
        <v>142</v>
      </c>
      <c r="AC97" s="29"/>
      <c r="AD97" t="s">
        <v>158</v>
      </c>
      <c r="AF97" t="s">
        <v>158</v>
      </c>
      <c r="AG97" s="29" t="s">
        <v>142</v>
      </c>
      <c r="AH97" s="29" t="s">
        <v>146</v>
      </c>
      <c r="AQ97">
        <v>0</v>
      </c>
      <c r="AS97" t="str">
        <f t="shared" si="1"/>
        <v>20250500|227-441902-18|M441902-18|11/04/2025||01|E001|0|4666||6|20608132458|A&amp;M MULTISERVICIOS MALPARTIDA E.I.R.L.|0|0|0|0|0|0|378|0|0.00|0|378|PEN||01/01/0001||-||-|01/01/0001|0|||||||||0|</v>
      </c>
    </row>
    <row r="98" spans="1:45" ht="15" customHeight="1" x14ac:dyDescent="0.25">
      <c r="A98">
        <v>91</v>
      </c>
      <c r="B98">
        <v>20250500</v>
      </c>
      <c r="C98" t="s">
        <v>495</v>
      </c>
      <c r="D98" t="s">
        <v>496</v>
      </c>
      <c r="E98" s="29" t="s">
        <v>149</v>
      </c>
      <c r="G98" s="29" t="s">
        <v>147</v>
      </c>
      <c r="H98" s="29" t="s">
        <v>157</v>
      </c>
      <c r="I98">
        <v>0</v>
      </c>
      <c r="J98">
        <v>289</v>
      </c>
      <c r="L98">
        <v>6</v>
      </c>
      <c r="M98" s="29" t="s">
        <v>497</v>
      </c>
      <c r="N98" t="s">
        <v>498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37</v>
      </c>
      <c r="V98">
        <v>0</v>
      </c>
      <c r="W98" s="28" t="s">
        <v>155</v>
      </c>
      <c r="X98">
        <v>0</v>
      </c>
      <c r="Y98">
        <v>37</v>
      </c>
      <c r="Z98" t="s">
        <v>156</v>
      </c>
      <c r="AB98" s="29" t="s">
        <v>142</v>
      </c>
      <c r="AC98" s="29"/>
      <c r="AD98" t="s">
        <v>158</v>
      </c>
      <c r="AF98" t="s">
        <v>158</v>
      </c>
      <c r="AG98" s="29" t="s">
        <v>142</v>
      </c>
      <c r="AH98" s="29" t="s">
        <v>146</v>
      </c>
      <c r="AQ98">
        <v>0</v>
      </c>
      <c r="AS98" t="str">
        <f t="shared" si="1"/>
        <v>20250500|227-441902-2-2|M441902-2|07/04/2025||01|F001|0|289||6|20610299491|GRUPO PAREDES &amp; VARGAS S.A.C.|0|0|0|0|0|0|37|0|0.00|0|37|PEN||01/01/0001||-||-|01/01/0001|0|||||||||0|</v>
      </c>
    </row>
    <row r="99" spans="1:45" ht="15" customHeight="1" x14ac:dyDescent="0.25">
      <c r="A99">
        <v>92</v>
      </c>
      <c r="B99">
        <v>20250500</v>
      </c>
      <c r="C99" t="s">
        <v>396</v>
      </c>
      <c r="D99" t="s">
        <v>397</v>
      </c>
      <c r="E99" s="29" t="s">
        <v>148</v>
      </c>
      <c r="G99" s="29" t="s">
        <v>147</v>
      </c>
      <c r="H99" s="29" t="s">
        <v>157</v>
      </c>
      <c r="I99">
        <v>0</v>
      </c>
      <c r="J99">
        <v>17373</v>
      </c>
      <c r="L99">
        <v>6</v>
      </c>
      <c r="M99" s="29" t="s">
        <v>398</v>
      </c>
      <c r="N99" t="s">
        <v>399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40</v>
      </c>
      <c r="V99">
        <v>0</v>
      </c>
      <c r="W99" s="28" t="s">
        <v>155</v>
      </c>
      <c r="X99">
        <v>0</v>
      </c>
      <c r="Y99">
        <v>40</v>
      </c>
      <c r="Z99" t="s">
        <v>156</v>
      </c>
      <c r="AB99" s="29" t="s">
        <v>142</v>
      </c>
      <c r="AC99" s="29"/>
      <c r="AD99" t="s">
        <v>158</v>
      </c>
      <c r="AF99" t="s">
        <v>158</v>
      </c>
      <c r="AG99" s="29" t="s">
        <v>142</v>
      </c>
      <c r="AH99" s="29" t="s">
        <v>146</v>
      </c>
      <c r="AQ99">
        <v>0</v>
      </c>
      <c r="AS99" t="str">
        <f t="shared" si="1"/>
        <v>20250500|227-441902-5-5|M441902-5|08/04/2025||01|F001|0|17373||6|20528161651|RESTAURANT CEVICHERIA EL MIJANO E.I.R.L.|0|0|0|0|0|0|40|0|0.00|0|40|PEN||01/01/0001||-||-|01/01/0001|0|||||||||0|</v>
      </c>
    </row>
    <row r="100" spans="1:45" s="35" customFormat="1" ht="15" customHeight="1" x14ac:dyDescent="0.25">
      <c r="A100">
        <v>93</v>
      </c>
      <c r="B100">
        <v>20250500</v>
      </c>
      <c r="C100" t="s">
        <v>487</v>
      </c>
      <c r="D100" t="s">
        <v>488</v>
      </c>
      <c r="E100" s="29" t="s">
        <v>222</v>
      </c>
      <c r="F100"/>
      <c r="G100" s="29" t="s">
        <v>147</v>
      </c>
      <c r="H100" s="29" t="s">
        <v>229</v>
      </c>
      <c r="I100">
        <v>0</v>
      </c>
      <c r="J100">
        <v>7070</v>
      </c>
      <c r="K100"/>
      <c r="L100">
        <v>6</v>
      </c>
      <c r="M100" s="29" t="s">
        <v>433</v>
      </c>
      <c r="N100" t="s">
        <v>434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28</v>
      </c>
      <c r="V100">
        <v>0</v>
      </c>
      <c r="W100" s="28" t="s">
        <v>155</v>
      </c>
      <c r="X100">
        <v>0</v>
      </c>
      <c r="Y100">
        <v>28</v>
      </c>
      <c r="Z100" t="s">
        <v>156</v>
      </c>
      <c r="AA100"/>
      <c r="AB100" s="29" t="s">
        <v>142</v>
      </c>
      <c r="AC100" s="29"/>
      <c r="AD100" t="s">
        <v>158</v>
      </c>
      <c r="AE100"/>
      <c r="AF100" t="s">
        <v>158</v>
      </c>
      <c r="AG100" s="29" t="s">
        <v>142</v>
      </c>
      <c r="AH100" s="29" t="s">
        <v>146</v>
      </c>
      <c r="AI100"/>
      <c r="AJ100"/>
      <c r="AK100"/>
      <c r="AL100"/>
      <c r="AM100"/>
      <c r="AN100"/>
      <c r="AO100"/>
      <c r="AP100"/>
      <c r="AQ100">
        <v>0</v>
      </c>
      <c r="AR100"/>
      <c r="AS100" t="str">
        <f t="shared" si="1"/>
        <v>20250500|227-441905-10-10|M441905-10|28/03/2025||01|FE01|0|7070||6|20351612011|CHIFA MEY LIN E.I.R.L|0|0|0|0|0|0|28|0|0.00|0|28|PEN||01/01/0001||-||-|01/01/0001|0|||||||||0|</v>
      </c>
    </row>
    <row r="101" spans="1:45" s="35" customFormat="1" ht="15" customHeight="1" x14ac:dyDescent="0.25">
      <c r="A101">
        <v>94</v>
      </c>
      <c r="B101">
        <v>20250500</v>
      </c>
      <c r="C101" t="s">
        <v>478</v>
      </c>
      <c r="D101" t="s">
        <v>479</v>
      </c>
      <c r="E101" s="29" t="s">
        <v>205</v>
      </c>
      <c r="F101"/>
      <c r="G101" s="29" t="s">
        <v>147</v>
      </c>
      <c r="H101" s="29" t="s">
        <v>159</v>
      </c>
      <c r="I101">
        <v>0</v>
      </c>
      <c r="J101">
        <v>239</v>
      </c>
      <c r="K101"/>
      <c r="L101">
        <v>6</v>
      </c>
      <c r="M101" s="29" t="s">
        <v>271</v>
      </c>
      <c r="N101" t="s">
        <v>272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50</v>
      </c>
      <c r="V101">
        <v>0</v>
      </c>
      <c r="W101" s="28" t="s">
        <v>155</v>
      </c>
      <c r="X101">
        <v>0</v>
      </c>
      <c r="Y101">
        <v>50</v>
      </c>
      <c r="Z101" t="s">
        <v>156</v>
      </c>
      <c r="AA101"/>
      <c r="AB101" s="29" t="s">
        <v>142</v>
      </c>
      <c r="AC101" s="29"/>
      <c r="AD101" t="s">
        <v>158</v>
      </c>
      <c r="AE101"/>
      <c r="AF101" t="s">
        <v>158</v>
      </c>
      <c r="AG101" s="29" t="s">
        <v>142</v>
      </c>
      <c r="AH101" s="29" t="s">
        <v>146</v>
      </c>
      <c r="AI101"/>
      <c r="AJ101"/>
      <c r="AK101"/>
      <c r="AL101"/>
      <c r="AM101"/>
      <c r="AN101"/>
      <c r="AO101"/>
      <c r="AP101"/>
      <c r="AQ101">
        <v>0</v>
      </c>
      <c r="AR101"/>
      <c r="AS101" t="str">
        <f t="shared" si="1"/>
        <v>20250500|227-441905-2-2|M441905-2|27/03/2025||01|E001|0|239||6|20600096631|DIMAROP S.A.C.                          |0|0|0|0|0|0|50|0|0.00|0|50|PEN||01/01/0001||-||-|01/01/0001|0|||||||||0|</v>
      </c>
    </row>
    <row r="102" spans="1:45" s="35" customFormat="1" ht="15" customHeight="1" x14ac:dyDescent="0.25">
      <c r="A102">
        <v>95</v>
      </c>
      <c r="B102">
        <v>20250500</v>
      </c>
      <c r="C102" t="s">
        <v>269</v>
      </c>
      <c r="D102" t="s">
        <v>270</v>
      </c>
      <c r="E102" s="29" t="s">
        <v>205</v>
      </c>
      <c r="F102"/>
      <c r="G102" s="29" t="s">
        <v>147</v>
      </c>
      <c r="H102" s="29" t="s">
        <v>159</v>
      </c>
      <c r="I102">
        <v>0</v>
      </c>
      <c r="J102">
        <v>240</v>
      </c>
      <c r="K102"/>
      <c r="L102">
        <v>6</v>
      </c>
      <c r="M102" s="29" t="s">
        <v>271</v>
      </c>
      <c r="N102" t="s">
        <v>272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60</v>
      </c>
      <c r="V102">
        <v>0</v>
      </c>
      <c r="W102" s="28" t="s">
        <v>155</v>
      </c>
      <c r="X102">
        <v>0</v>
      </c>
      <c r="Y102">
        <v>60</v>
      </c>
      <c r="Z102" t="s">
        <v>156</v>
      </c>
      <c r="AA102"/>
      <c r="AB102" s="29" t="s">
        <v>142</v>
      </c>
      <c r="AC102" s="29"/>
      <c r="AD102" t="s">
        <v>158</v>
      </c>
      <c r="AE102"/>
      <c r="AF102" t="s">
        <v>158</v>
      </c>
      <c r="AG102" s="29" t="s">
        <v>142</v>
      </c>
      <c r="AH102" s="29" t="s">
        <v>146</v>
      </c>
      <c r="AI102"/>
      <c r="AJ102"/>
      <c r="AK102"/>
      <c r="AL102"/>
      <c r="AM102"/>
      <c r="AN102"/>
      <c r="AO102"/>
      <c r="AP102"/>
      <c r="AQ102">
        <v>0</v>
      </c>
      <c r="AR102"/>
      <c r="AS102" t="str">
        <f t="shared" si="1"/>
        <v>20250500|227-441905-3-3|M441905-3|27/03/2025||01|E001|0|240||6|20600096631|DIMAROP S.A.C.                          |0|0|0|0|0|0|60|0|0.00|0|60|PEN||01/01/0001||-||-|01/01/0001|0|||||||||0|</v>
      </c>
    </row>
    <row r="103" spans="1:45" s="35" customFormat="1" ht="15" customHeight="1" x14ac:dyDescent="0.25">
      <c r="A103">
        <v>96</v>
      </c>
      <c r="B103">
        <v>20250500</v>
      </c>
      <c r="C103" t="s">
        <v>523</v>
      </c>
      <c r="D103" t="s">
        <v>524</v>
      </c>
      <c r="E103" s="29" t="s">
        <v>222</v>
      </c>
      <c r="F103"/>
      <c r="G103" s="29" t="s">
        <v>147</v>
      </c>
      <c r="H103" s="29" t="s">
        <v>159</v>
      </c>
      <c r="I103">
        <v>0</v>
      </c>
      <c r="J103">
        <v>241</v>
      </c>
      <c r="K103"/>
      <c r="L103">
        <v>6</v>
      </c>
      <c r="M103" s="29" t="s">
        <v>271</v>
      </c>
      <c r="N103" t="s">
        <v>272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50</v>
      </c>
      <c r="V103">
        <v>0</v>
      </c>
      <c r="W103" s="28" t="s">
        <v>155</v>
      </c>
      <c r="X103">
        <v>0</v>
      </c>
      <c r="Y103">
        <v>50</v>
      </c>
      <c r="Z103" t="s">
        <v>156</v>
      </c>
      <c r="AA103"/>
      <c r="AB103" s="29" t="s">
        <v>142</v>
      </c>
      <c r="AC103" s="29"/>
      <c r="AD103" t="s">
        <v>158</v>
      </c>
      <c r="AE103"/>
      <c r="AF103" t="s">
        <v>158</v>
      </c>
      <c r="AG103" s="29" t="s">
        <v>142</v>
      </c>
      <c r="AH103" s="29" t="s">
        <v>146</v>
      </c>
      <c r="AI103"/>
      <c r="AJ103"/>
      <c r="AK103"/>
      <c r="AL103"/>
      <c r="AM103"/>
      <c r="AN103"/>
      <c r="AO103"/>
      <c r="AP103"/>
      <c r="AQ103">
        <v>0</v>
      </c>
      <c r="AR103"/>
      <c r="AS103" t="str">
        <f t="shared" si="1"/>
        <v>20250500|227-441905-4-4|M441905-4|28/03/2025||01|E001|0|241||6|20600096631|DIMAROP S.A.C.                          |0|0|0|0|0|0|50|0|0.00|0|50|PEN||01/01/0001||-||-|01/01/0001|0|||||||||0|</v>
      </c>
    </row>
    <row r="104" spans="1:45" s="35" customFormat="1" ht="15" customHeight="1" x14ac:dyDescent="0.25">
      <c r="A104">
        <v>97</v>
      </c>
      <c r="B104">
        <v>20250500</v>
      </c>
      <c r="C104" t="s">
        <v>324</v>
      </c>
      <c r="D104" t="s">
        <v>325</v>
      </c>
      <c r="E104" s="29" t="s">
        <v>222</v>
      </c>
      <c r="F104"/>
      <c r="G104" s="29" t="s">
        <v>147</v>
      </c>
      <c r="H104" s="29" t="s">
        <v>159</v>
      </c>
      <c r="I104">
        <v>0</v>
      </c>
      <c r="J104">
        <v>242</v>
      </c>
      <c r="K104"/>
      <c r="L104">
        <v>6</v>
      </c>
      <c r="M104" s="29" t="s">
        <v>271</v>
      </c>
      <c r="N104" t="s">
        <v>272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60</v>
      </c>
      <c r="V104">
        <v>0</v>
      </c>
      <c r="W104" s="28" t="s">
        <v>155</v>
      </c>
      <c r="X104">
        <v>0</v>
      </c>
      <c r="Y104">
        <v>60</v>
      </c>
      <c r="Z104" t="s">
        <v>156</v>
      </c>
      <c r="AA104"/>
      <c r="AB104" s="29" t="s">
        <v>142</v>
      </c>
      <c r="AC104" s="29"/>
      <c r="AD104" t="s">
        <v>158</v>
      </c>
      <c r="AE104"/>
      <c r="AF104" t="s">
        <v>158</v>
      </c>
      <c r="AG104" s="29" t="s">
        <v>142</v>
      </c>
      <c r="AH104" s="29" t="s">
        <v>146</v>
      </c>
      <c r="AI104"/>
      <c r="AJ104"/>
      <c r="AK104"/>
      <c r="AL104"/>
      <c r="AM104"/>
      <c r="AN104"/>
      <c r="AO104"/>
      <c r="AP104"/>
      <c r="AQ104">
        <v>0</v>
      </c>
      <c r="AR104"/>
      <c r="AS104" t="str">
        <f t="shared" si="1"/>
        <v>20250500|227-441905-5-5|M441905-5|28/03/2025||01|E001|0|242||6|20600096631|DIMAROP S.A.C.                          |0|0|0|0|0|0|60|0|0.00|0|60|PEN||01/01/0001||-||-|01/01/0001|0|||||||||0|</v>
      </c>
    </row>
    <row r="105" spans="1:45" ht="15" customHeight="1" x14ac:dyDescent="0.25">
      <c r="A105">
        <v>98</v>
      </c>
      <c r="B105">
        <v>20250500</v>
      </c>
      <c r="C105" t="s">
        <v>282</v>
      </c>
      <c r="D105" t="s">
        <v>283</v>
      </c>
      <c r="E105" s="29" t="s">
        <v>232</v>
      </c>
      <c r="G105" s="29" t="s">
        <v>147</v>
      </c>
      <c r="H105" s="29" t="s">
        <v>159</v>
      </c>
      <c r="I105">
        <v>0</v>
      </c>
      <c r="J105">
        <v>243</v>
      </c>
      <c r="L105">
        <v>6</v>
      </c>
      <c r="M105" s="29" t="s">
        <v>271</v>
      </c>
      <c r="N105" t="s">
        <v>272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40</v>
      </c>
      <c r="V105">
        <v>0</v>
      </c>
      <c r="W105" s="28" t="s">
        <v>155</v>
      </c>
      <c r="X105">
        <v>0</v>
      </c>
      <c r="Y105">
        <v>40</v>
      </c>
      <c r="Z105" t="s">
        <v>156</v>
      </c>
      <c r="AB105" s="29" t="s">
        <v>142</v>
      </c>
      <c r="AC105" s="29"/>
      <c r="AD105" t="s">
        <v>158</v>
      </c>
      <c r="AF105" t="s">
        <v>158</v>
      </c>
      <c r="AG105" s="29" t="s">
        <v>142</v>
      </c>
      <c r="AH105" s="29" t="s">
        <v>146</v>
      </c>
      <c r="AQ105">
        <v>0</v>
      </c>
      <c r="AS105" t="str">
        <f t="shared" si="1"/>
        <v>20250500|227-441905-6-6|M441905-6|29/03/2025||01|E001|0|243||6|20600096631|DIMAROP S.A.C.                          |0|0|0|0|0|0|40|0|0.00|0|40|PEN||01/01/0001||-||-|01/01/0001|0|||||||||0|</v>
      </c>
    </row>
    <row r="106" spans="1:45" s="35" customFormat="1" ht="15" customHeight="1" x14ac:dyDescent="0.25">
      <c r="A106">
        <v>99</v>
      </c>
      <c r="B106">
        <v>20250500</v>
      </c>
      <c r="C106" t="s">
        <v>489</v>
      </c>
      <c r="D106" t="s">
        <v>490</v>
      </c>
      <c r="E106" s="29" t="s">
        <v>232</v>
      </c>
      <c r="F106"/>
      <c r="G106" s="29" t="s">
        <v>147</v>
      </c>
      <c r="H106" s="29" t="s">
        <v>159</v>
      </c>
      <c r="I106">
        <v>0</v>
      </c>
      <c r="J106">
        <v>244</v>
      </c>
      <c r="K106"/>
      <c r="L106">
        <v>6</v>
      </c>
      <c r="M106" s="29" t="s">
        <v>271</v>
      </c>
      <c r="N106" t="s">
        <v>272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50</v>
      </c>
      <c r="V106">
        <v>0</v>
      </c>
      <c r="W106" s="28" t="s">
        <v>155</v>
      </c>
      <c r="X106">
        <v>0</v>
      </c>
      <c r="Y106">
        <v>50</v>
      </c>
      <c r="Z106" t="s">
        <v>156</v>
      </c>
      <c r="AA106"/>
      <c r="AB106" s="29" t="s">
        <v>142</v>
      </c>
      <c r="AC106" s="29"/>
      <c r="AD106" t="s">
        <v>158</v>
      </c>
      <c r="AE106"/>
      <c r="AF106" t="s">
        <v>158</v>
      </c>
      <c r="AG106" s="29" t="s">
        <v>142</v>
      </c>
      <c r="AH106" s="29" t="s">
        <v>146</v>
      </c>
      <c r="AI106"/>
      <c r="AJ106"/>
      <c r="AK106"/>
      <c r="AL106"/>
      <c r="AM106"/>
      <c r="AN106"/>
      <c r="AO106"/>
      <c r="AP106"/>
      <c r="AQ106">
        <v>0</v>
      </c>
      <c r="AR106"/>
      <c r="AS106" t="str">
        <f t="shared" si="1"/>
        <v>20250500|227-441905-7-7|M441905-7|29/03/2025||01|E001|0|244||6|20600096631|DIMAROP S.A.C.                          |0|0|0|0|0|0|50|0|0.00|0|50|PEN||01/01/0001||-||-|01/01/0001|0|||||||||0|</v>
      </c>
    </row>
    <row r="107" spans="1:45" s="35" customFormat="1" ht="15" customHeight="1" x14ac:dyDescent="0.25">
      <c r="A107">
        <v>100</v>
      </c>
      <c r="B107">
        <v>20250500</v>
      </c>
      <c r="C107" t="s">
        <v>529</v>
      </c>
      <c r="D107" t="s">
        <v>530</v>
      </c>
      <c r="E107" s="29" t="s">
        <v>232</v>
      </c>
      <c r="F107"/>
      <c r="G107" s="29" t="s">
        <v>147</v>
      </c>
      <c r="H107" s="29" t="s">
        <v>159</v>
      </c>
      <c r="I107">
        <v>0</v>
      </c>
      <c r="J107">
        <v>7414</v>
      </c>
      <c r="K107"/>
      <c r="L107">
        <v>6</v>
      </c>
      <c r="M107" s="29" t="s">
        <v>531</v>
      </c>
      <c r="N107" t="s">
        <v>532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240</v>
      </c>
      <c r="V107">
        <v>0</v>
      </c>
      <c r="W107" s="28" t="s">
        <v>155</v>
      </c>
      <c r="X107">
        <v>0</v>
      </c>
      <c r="Y107">
        <v>240</v>
      </c>
      <c r="Z107" t="s">
        <v>156</v>
      </c>
      <c r="AA107"/>
      <c r="AB107" s="29" t="s">
        <v>142</v>
      </c>
      <c r="AC107" s="29"/>
      <c r="AD107" t="s">
        <v>158</v>
      </c>
      <c r="AE107"/>
      <c r="AF107" t="s">
        <v>158</v>
      </c>
      <c r="AG107" s="29" t="s">
        <v>142</v>
      </c>
      <c r="AH107" s="29" t="s">
        <v>146</v>
      </c>
      <c r="AI107"/>
      <c r="AJ107"/>
      <c r="AK107"/>
      <c r="AL107"/>
      <c r="AM107"/>
      <c r="AN107"/>
      <c r="AO107"/>
      <c r="AP107"/>
      <c r="AQ107">
        <v>0</v>
      </c>
      <c r="AR107"/>
      <c r="AS107" t="str">
        <f t="shared" si="1"/>
        <v>20250500|227-441905-8-8|M441905-8|29/03/2025||01|E001|0|7414||6|20393328925| HOSTAL SUCRE S.R.L.|0|0|0|0|0|0|240|0|0.00|0|240|PEN||01/01/0001||-||-|01/01/0001|0|||||||||0|</v>
      </c>
    </row>
    <row r="108" spans="1:45" s="35" customFormat="1" ht="15" customHeight="1" x14ac:dyDescent="0.25">
      <c r="A108">
        <v>101</v>
      </c>
      <c r="B108">
        <v>20250500</v>
      </c>
      <c r="C108" t="s">
        <v>431</v>
      </c>
      <c r="D108" t="s">
        <v>432</v>
      </c>
      <c r="E108" s="29" t="s">
        <v>205</v>
      </c>
      <c r="F108"/>
      <c r="G108" s="29" t="s">
        <v>147</v>
      </c>
      <c r="H108" s="29" t="s">
        <v>229</v>
      </c>
      <c r="I108">
        <v>0</v>
      </c>
      <c r="J108">
        <v>7062</v>
      </c>
      <c r="K108"/>
      <c r="L108">
        <v>6</v>
      </c>
      <c r="M108" s="29" t="s">
        <v>433</v>
      </c>
      <c r="N108" t="s">
        <v>434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28</v>
      </c>
      <c r="V108">
        <v>0</v>
      </c>
      <c r="W108" s="28" t="s">
        <v>155</v>
      </c>
      <c r="X108">
        <v>0</v>
      </c>
      <c r="Y108">
        <v>28</v>
      </c>
      <c r="Z108" t="s">
        <v>156</v>
      </c>
      <c r="AA108"/>
      <c r="AB108" s="29" t="s">
        <v>142</v>
      </c>
      <c r="AC108" s="29"/>
      <c r="AD108" t="s">
        <v>158</v>
      </c>
      <c r="AE108"/>
      <c r="AF108" t="s">
        <v>158</v>
      </c>
      <c r="AG108" s="29" t="s">
        <v>142</v>
      </c>
      <c r="AH108" s="29" t="s">
        <v>146</v>
      </c>
      <c r="AI108"/>
      <c r="AJ108"/>
      <c r="AK108"/>
      <c r="AL108"/>
      <c r="AM108"/>
      <c r="AN108"/>
      <c r="AO108"/>
      <c r="AP108"/>
      <c r="AQ108">
        <v>0</v>
      </c>
      <c r="AR108"/>
      <c r="AS108" t="str">
        <f t="shared" si="1"/>
        <v>20250500|227-441905-9-9|M441905-9|27/03/2025||01|FE01|0|7062||6|20351612011|CHIFA MEY LIN E.I.R.L|0|0|0|0|0|0|28|0|0.00|0|28|PEN||01/01/0001||-||-|01/01/0001|0|||||||||0|</v>
      </c>
    </row>
    <row r="109" spans="1:45" ht="15" customHeight="1" x14ac:dyDescent="0.25">
      <c r="A109">
        <v>102</v>
      </c>
      <c r="B109">
        <v>20250500</v>
      </c>
      <c r="C109" t="s">
        <v>340</v>
      </c>
      <c r="D109" t="s">
        <v>341</v>
      </c>
      <c r="E109" s="29" t="s">
        <v>150</v>
      </c>
      <c r="G109" s="29" t="s">
        <v>147</v>
      </c>
      <c r="H109" s="29" t="s">
        <v>172</v>
      </c>
      <c r="I109">
        <v>0</v>
      </c>
      <c r="J109">
        <v>13528</v>
      </c>
      <c r="L109">
        <v>6</v>
      </c>
      <c r="M109" s="29" t="s">
        <v>342</v>
      </c>
      <c r="N109" t="s">
        <v>343</v>
      </c>
      <c r="O109">
        <v>0</v>
      </c>
      <c r="P109">
        <v>0</v>
      </c>
      <c r="Q109">
        <v>34.32</v>
      </c>
      <c r="R109">
        <v>6.18</v>
      </c>
      <c r="S109">
        <v>0</v>
      </c>
      <c r="T109">
        <v>0</v>
      </c>
      <c r="U109">
        <v>0</v>
      </c>
      <c r="V109">
        <v>0</v>
      </c>
      <c r="W109" s="28" t="s">
        <v>155</v>
      </c>
      <c r="X109">
        <v>0</v>
      </c>
      <c r="Y109">
        <v>40.5</v>
      </c>
      <c r="Z109" t="s">
        <v>156</v>
      </c>
      <c r="AB109" s="29" t="s">
        <v>142</v>
      </c>
      <c r="AC109" s="29"/>
      <c r="AD109" t="s">
        <v>158</v>
      </c>
      <c r="AF109" t="s">
        <v>158</v>
      </c>
      <c r="AG109" s="29" t="s">
        <v>142</v>
      </c>
      <c r="AH109" s="29" t="s">
        <v>146</v>
      </c>
      <c r="AQ109">
        <v>6</v>
      </c>
      <c r="AS109" t="str">
        <f t="shared" si="1"/>
        <v>20250500|227-441908-4-4|M441908-4|04/04/2025||01|F002|0|13528||6|20602444750|DULCE CAFETI SOCIEDAD ANﾓNIMA CERRADA|0|0|34.32|6.18|0|0|0|0|0.00|0|40.5|PEN||01/01/0001||-||-|01/01/0001|0|||||||||6|</v>
      </c>
    </row>
    <row r="110" spans="1:45" s="35" customFormat="1" ht="15" customHeight="1" x14ac:dyDescent="0.25">
      <c r="A110">
        <v>103</v>
      </c>
      <c r="B110">
        <v>20250500</v>
      </c>
      <c r="C110" t="s">
        <v>409</v>
      </c>
      <c r="D110" t="s">
        <v>410</v>
      </c>
      <c r="E110" s="29" t="s">
        <v>150</v>
      </c>
      <c r="F110"/>
      <c r="G110" s="29" t="s">
        <v>147</v>
      </c>
      <c r="H110" s="29" t="s">
        <v>195</v>
      </c>
      <c r="I110">
        <v>0</v>
      </c>
      <c r="J110">
        <v>52772</v>
      </c>
      <c r="K110"/>
      <c r="L110">
        <v>6</v>
      </c>
      <c r="M110" s="29" t="s">
        <v>411</v>
      </c>
      <c r="N110" t="s">
        <v>412</v>
      </c>
      <c r="O110">
        <v>0</v>
      </c>
      <c r="P110">
        <v>0</v>
      </c>
      <c r="Q110">
        <v>38.049999999999997</v>
      </c>
      <c r="R110">
        <v>6.85</v>
      </c>
      <c r="S110">
        <v>0</v>
      </c>
      <c r="T110">
        <v>0</v>
      </c>
      <c r="U110">
        <v>0</v>
      </c>
      <c r="V110">
        <v>0</v>
      </c>
      <c r="W110" s="28" t="s">
        <v>155</v>
      </c>
      <c r="X110">
        <v>0</v>
      </c>
      <c r="Y110">
        <v>44.9</v>
      </c>
      <c r="Z110" t="s">
        <v>156</v>
      </c>
      <c r="AA110"/>
      <c r="AB110" s="29" t="s">
        <v>142</v>
      </c>
      <c r="AC110" s="29"/>
      <c r="AD110" t="s">
        <v>158</v>
      </c>
      <c r="AE110"/>
      <c r="AF110" t="s">
        <v>158</v>
      </c>
      <c r="AG110" s="29" t="s">
        <v>142</v>
      </c>
      <c r="AH110" s="29" t="s">
        <v>146</v>
      </c>
      <c r="AI110"/>
      <c r="AJ110"/>
      <c r="AK110"/>
      <c r="AL110"/>
      <c r="AM110"/>
      <c r="AN110"/>
      <c r="AO110"/>
      <c r="AP110"/>
      <c r="AQ110">
        <v>6</v>
      </c>
      <c r="AR110"/>
      <c r="AS110" t="str">
        <f t="shared" si="1"/>
        <v>20250500|227-441908-5-5|M441908-5|04/04/2025||01|F006|0|52772||6|20505897812|CORPORACION PERUANA DE RESTAURANTES S.A.C.|0|0|38.05|6.85|0|0|0|0|0.00|0|44.9|PEN||01/01/0001||-||-|01/01/0001|0|||||||||6|</v>
      </c>
    </row>
    <row r="111" spans="1:45" ht="15" customHeight="1" x14ac:dyDescent="0.25">
      <c r="A111">
        <v>104</v>
      </c>
      <c r="B111">
        <v>20250500</v>
      </c>
      <c r="C111" t="s">
        <v>456</v>
      </c>
      <c r="D111" t="s">
        <v>457</v>
      </c>
      <c r="E111" s="29" t="s">
        <v>262</v>
      </c>
      <c r="G111" s="29" t="s">
        <v>147</v>
      </c>
      <c r="H111" s="29" t="s">
        <v>159</v>
      </c>
      <c r="I111">
        <v>0</v>
      </c>
      <c r="J111">
        <v>803</v>
      </c>
      <c r="L111">
        <v>6</v>
      </c>
      <c r="M111" s="29" t="s">
        <v>189</v>
      </c>
      <c r="N111" t="s">
        <v>453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60</v>
      </c>
      <c r="V111">
        <v>0</v>
      </c>
      <c r="W111" s="28" t="s">
        <v>155</v>
      </c>
      <c r="X111">
        <v>0</v>
      </c>
      <c r="Y111">
        <v>60</v>
      </c>
      <c r="Z111" t="s">
        <v>156</v>
      </c>
      <c r="AB111" s="29" t="s">
        <v>142</v>
      </c>
      <c r="AC111" s="29"/>
      <c r="AD111" t="s">
        <v>158</v>
      </c>
      <c r="AF111" t="s">
        <v>158</v>
      </c>
      <c r="AG111" s="29" t="s">
        <v>142</v>
      </c>
      <c r="AH111" s="29" t="s">
        <v>146</v>
      </c>
      <c r="AQ111">
        <v>0</v>
      </c>
      <c r="AS111" t="str">
        <f t="shared" si="1"/>
        <v>20250500|227-441908-7-7|M441908-7|03/04/2025||01|E001|0|803||6|10719028492|ESLACHIN ZEGOVIA ANTONY DENIZ|0|0|0|0|0|0|60|0|0.00|0|60|PEN||01/01/0001||-||-|01/01/0001|0|||||||||0|</v>
      </c>
    </row>
    <row r="112" spans="1:45" ht="15" customHeight="1" x14ac:dyDescent="0.25">
      <c r="A112">
        <v>105</v>
      </c>
      <c r="B112">
        <v>20250500</v>
      </c>
      <c r="C112" t="s">
        <v>246</v>
      </c>
      <c r="D112" t="s">
        <v>247</v>
      </c>
      <c r="E112" s="29" t="s">
        <v>150</v>
      </c>
      <c r="G112" s="29" t="s">
        <v>147</v>
      </c>
      <c r="H112" s="29" t="s">
        <v>159</v>
      </c>
      <c r="I112">
        <v>0</v>
      </c>
      <c r="J112">
        <v>809</v>
      </c>
      <c r="L112">
        <v>6</v>
      </c>
      <c r="M112" s="29" t="s">
        <v>189</v>
      </c>
      <c r="N112" t="s">
        <v>453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60</v>
      </c>
      <c r="V112">
        <v>0</v>
      </c>
      <c r="W112" s="28" t="s">
        <v>155</v>
      </c>
      <c r="X112">
        <v>0</v>
      </c>
      <c r="Y112">
        <v>60</v>
      </c>
      <c r="Z112" t="s">
        <v>156</v>
      </c>
      <c r="AB112" s="29" t="s">
        <v>142</v>
      </c>
      <c r="AC112" s="29"/>
      <c r="AD112" t="s">
        <v>158</v>
      </c>
      <c r="AF112" t="s">
        <v>158</v>
      </c>
      <c r="AG112" s="29" t="s">
        <v>142</v>
      </c>
      <c r="AH112" s="29" t="s">
        <v>146</v>
      </c>
      <c r="AQ112">
        <v>0</v>
      </c>
      <c r="AS112" t="str">
        <f t="shared" si="1"/>
        <v>20250500|227-441908-8|M441908-8|04/04/2025||01|E001|0|809||6|10719028492|ESLACHIN ZEGOVIA ANTONY DENIZ|0|0|0|0|0|0|60|0|0.00|0|60|PEN||01/01/0001||-||-|01/01/0001|0|||||||||0|</v>
      </c>
    </row>
    <row r="113" spans="1:45" ht="15" customHeight="1" x14ac:dyDescent="0.25">
      <c r="A113">
        <v>106</v>
      </c>
      <c r="B113">
        <v>20250500</v>
      </c>
      <c r="C113" t="s">
        <v>448</v>
      </c>
      <c r="D113" t="s">
        <v>449</v>
      </c>
      <c r="E113" s="29" t="s">
        <v>450</v>
      </c>
      <c r="G113" s="29" t="s">
        <v>147</v>
      </c>
      <c r="H113" s="29" t="s">
        <v>159</v>
      </c>
      <c r="I113">
        <v>0</v>
      </c>
      <c r="J113">
        <v>97</v>
      </c>
      <c r="L113">
        <v>6</v>
      </c>
      <c r="M113" s="29" t="s">
        <v>279</v>
      </c>
      <c r="N113" t="s">
        <v>280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200</v>
      </c>
      <c r="V113">
        <v>0</v>
      </c>
      <c r="W113" s="28" t="s">
        <v>155</v>
      </c>
      <c r="X113">
        <v>0</v>
      </c>
      <c r="Y113">
        <v>200</v>
      </c>
      <c r="Z113" t="s">
        <v>156</v>
      </c>
      <c r="AB113" s="29" t="s">
        <v>142</v>
      </c>
      <c r="AC113" s="29"/>
      <c r="AD113" t="s">
        <v>158</v>
      </c>
      <c r="AF113" t="s">
        <v>158</v>
      </c>
      <c r="AG113" s="29" t="s">
        <v>142</v>
      </c>
      <c r="AH113" s="29" t="s">
        <v>146</v>
      </c>
      <c r="AQ113">
        <v>0</v>
      </c>
      <c r="AS113" t="str">
        <f t="shared" si="1"/>
        <v>20250500|227-441909-2-2|M441909-2|08/04/2024||01|E001|0|97||6|20601644020|F &amp; H CONSTRUCCIONES INGENIEROS S.A.C.|0|0|0|0|0|0|200|0|0.00|0|200|PEN||01/01/0001||-||-|01/01/0001|0|||||||||0|</v>
      </c>
    </row>
    <row r="114" spans="1:45" ht="15" customHeight="1" x14ac:dyDescent="0.25">
      <c r="A114">
        <v>107</v>
      </c>
      <c r="B114">
        <v>20250500</v>
      </c>
      <c r="C114" t="s">
        <v>513</v>
      </c>
      <c r="D114" t="s">
        <v>514</v>
      </c>
      <c r="E114" s="29" t="s">
        <v>165</v>
      </c>
      <c r="F114" s="29" t="s">
        <v>173</v>
      </c>
      <c r="G114" s="29" t="s">
        <v>12</v>
      </c>
      <c r="H114" s="29" t="s">
        <v>310</v>
      </c>
      <c r="I114">
        <v>0</v>
      </c>
      <c r="J114">
        <v>463153</v>
      </c>
      <c r="L114">
        <v>6</v>
      </c>
      <c r="M114" s="29" t="s">
        <v>196</v>
      </c>
      <c r="N114" t="s">
        <v>197</v>
      </c>
      <c r="O114">
        <v>0</v>
      </c>
      <c r="P114">
        <v>0</v>
      </c>
      <c r="Q114">
        <v>4.1399999999999997</v>
      </c>
      <c r="R114">
        <v>0.75</v>
      </c>
      <c r="S114">
        <v>0</v>
      </c>
      <c r="T114">
        <v>0</v>
      </c>
      <c r="U114">
        <v>0</v>
      </c>
      <c r="V114">
        <v>0</v>
      </c>
      <c r="W114" s="28" t="s">
        <v>155</v>
      </c>
      <c r="X114">
        <v>0.11</v>
      </c>
      <c r="Y114">
        <v>5</v>
      </c>
      <c r="Z114" t="s">
        <v>156</v>
      </c>
      <c r="AB114" s="29" t="s">
        <v>142</v>
      </c>
      <c r="AC114" s="29"/>
      <c r="AD114" t="s">
        <v>158</v>
      </c>
      <c r="AF114" t="s">
        <v>158</v>
      </c>
      <c r="AG114" s="29" t="s">
        <v>142</v>
      </c>
      <c r="AH114" s="29" t="s">
        <v>146</v>
      </c>
      <c r="AQ114">
        <v>6</v>
      </c>
      <c r="AS114" t="str">
        <f t="shared" si="1"/>
        <v>20250500|227-441913|M441913|28/04/2025|07/05/2025|14|S220|0|463153||6|20269985900|PLUZ ENERGﾍA PERﾚ S.A.A.|0|0|4.14|0.75|0|0|0|0|0.00|0.11|5|PEN||01/01/0001||-||-|01/01/0001|0|||||||||6|</v>
      </c>
    </row>
    <row r="115" spans="1:45" ht="15" customHeight="1" x14ac:dyDescent="0.25">
      <c r="A115">
        <v>108</v>
      </c>
      <c r="B115">
        <v>20250500</v>
      </c>
      <c r="C115" t="s">
        <v>462</v>
      </c>
      <c r="D115" t="s">
        <v>463</v>
      </c>
      <c r="E115" s="29" t="s">
        <v>165</v>
      </c>
      <c r="F115" s="29" t="s">
        <v>173</v>
      </c>
      <c r="G115" s="29" t="s">
        <v>12</v>
      </c>
      <c r="H115" s="29" t="s">
        <v>310</v>
      </c>
      <c r="I115">
        <v>0</v>
      </c>
      <c r="J115">
        <v>463154</v>
      </c>
      <c r="L115">
        <v>6</v>
      </c>
      <c r="M115" s="29" t="s">
        <v>196</v>
      </c>
      <c r="N115" t="s">
        <v>197</v>
      </c>
      <c r="O115">
        <v>0</v>
      </c>
      <c r="P115">
        <v>0</v>
      </c>
      <c r="Q115">
        <v>317.70999999999998</v>
      </c>
      <c r="R115">
        <v>57.19</v>
      </c>
      <c r="S115">
        <v>0</v>
      </c>
      <c r="T115">
        <v>0</v>
      </c>
      <c r="U115">
        <v>0</v>
      </c>
      <c r="V115">
        <v>0</v>
      </c>
      <c r="W115" s="28" t="s">
        <v>155</v>
      </c>
      <c r="X115">
        <v>4.5999999999999996</v>
      </c>
      <c r="Y115">
        <v>379.5</v>
      </c>
      <c r="Z115" t="s">
        <v>156</v>
      </c>
      <c r="AB115" s="29" t="s">
        <v>142</v>
      </c>
      <c r="AC115" s="29"/>
      <c r="AD115" t="s">
        <v>158</v>
      </c>
      <c r="AF115" t="s">
        <v>158</v>
      </c>
      <c r="AG115" s="29" t="s">
        <v>142</v>
      </c>
      <c r="AH115" s="29" t="s">
        <v>146</v>
      </c>
      <c r="AQ115">
        <v>6</v>
      </c>
      <c r="AS115" t="str">
        <f t="shared" si="1"/>
        <v>20250500|227-441918|M441918|28/04/2025|07/05/2025|14|S220|0|463154||6|20269985900|PLUZ ENERGﾍA PERﾚ S.A.A.|0|0|317.71|57.19|0|0|0|0|0.00|4.6|379.5|PEN||01/01/0001||-||-|01/01/0001|0|||||||||6|</v>
      </c>
    </row>
    <row r="116" spans="1:45" s="35" customFormat="1" ht="15" customHeight="1" x14ac:dyDescent="0.25">
      <c r="A116">
        <v>109</v>
      </c>
      <c r="B116">
        <v>20250500</v>
      </c>
      <c r="C116" t="s">
        <v>464</v>
      </c>
      <c r="D116" t="s">
        <v>465</v>
      </c>
      <c r="E116" s="29" t="s">
        <v>165</v>
      </c>
      <c r="F116" s="29" t="s">
        <v>173</v>
      </c>
      <c r="G116" s="29" t="s">
        <v>12</v>
      </c>
      <c r="H116" s="29" t="s">
        <v>310</v>
      </c>
      <c r="I116">
        <v>0</v>
      </c>
      <c r="J116">
        <v>463155</v>
      </c>
      <c r="K116"/>
      <c r="L116">
        <v>6</v>
      </c>
      <c r="M116" s="29" t="s">
        <v>196</v>
      </c>
      <c r="N116" t="s">
        <v>197</v>
      </c>
      <c r="O116">
        <v>0</v>
      </c>
      <c r="P116">
        <v>0</v>
      </c>
      <c r="Q116">
        <v>555.87</v>
      </c>
      <c r="R116">
        <v>100.06</v>
      </c>
      <c r="S116">
        <v>0</v>
      </c>
      <c r="T116">
        <v>0</v>
      </c>
      <c r="U116">
        <v>0</v>
      </c>
      <c r="V116">
        <v>0</v>
      </c>
      <c r="W116" s="28" t="s">
        <v>155</v>
      </c>
      <c r="X116">
        <v>8.57</v>
      </c>
      <c r="Y116">
        <v>664.5</v>
      </c>
      <c r="Z116" t="s">
        <v>156</v>
      </c>
      <c r="AA116"/>
      <c r="AB116" s="29" t="s">
        <v>142</v>
      </c>
      <c r="AC116" s="29"/>
      <c r="AD116" t="s">
        <v>158</v>
      </c>
      <c r="AE116"/>
      <c r="AF116" t="s">
        <v>158</v>
      </c>
      <c r="AG116" s="29" t="s">
        <v>142</v>
      </c>
      <c r="AH116" s="29" t="s">
        <v>146</v>
      </c>
      <c r="AI116"/>
      <c r="AJ116"/>
      <c r="AK116"/>
      <c r="AL116"/>
      <c r="AM116"/>
      <c r="AN116"/>
      <c r="AO116"/>
      <c r="AP116"/>
      <c r="AQ116">
        <v>6</v>
      </c>
      <c r="AR116"/>
      <c r="AS116" t="str">
        <f t="shared" si="1"/>
        <v>20250500|227-441920|M441920|28/04/2025|07/05/2025|14|S220|0|463155||6|20269985900|PLUZ ENERGﾍA PERﾚ S.A.A.|0|0|555.87|100.06|0|0|0|0|0.00|8.57|664.5|PEN||01/01/0001||-||-|01/01/0001|0|||||||||6|</v>
      </c>
    </row>
    <row r="117" spans="1:45" ht="15" customHeight="1" x14ac:dyDescent="0.25">
      <c r="A117">
        <v>110</v>
      </c>
      <c r="B117">
        <v>20250500</v>
      </c>
      <c r="C117" t="s">
        <v>354</v>
      </c>
      <c r="D117" t="s">
        <v>355</v>
      </c>
      <c r="E117" s="29" t="s">
        <v>165</v>
      </c>
      <c r="F117" s="29" t="s">
        <v>173</v>
      </c>
      <c r="G117" s="29" t="s">
        <v>12</v>
      </c>
      <c r="H117" s="29" t="s">
        <v>310</v>
      </c>
      <c r="I117">
        <v>0</v>
      </c>
      <c r="J117">
        <v>463156</v>
      </c>
      <c r="L117">
        <v>6</v>
      </c>
      <c r="M117" s="29" t="s">
        <v>196</v>
      </c>
      <c r="N117" t="s">
        <v>197</v>
      </c>
      <c r="O117">
        <v>0</v>
      </c>
      <c r="P117">
        <v>0</v>
      </c>
      <c r="Q117">
        <v>685.16</v>
      </c>
      <c r="R117">
        <v>123.33</v>
      </c>
      <c r="S117">
        <v>0</v>
      </c>
      <c r="T117">
        <v>0</v>
      </c>
      <c r="U117">
        <v>0</v>
      </c>
      <c r="V117">
        <v>0</v>
      </c>
      <c r="W117" s="28" t="s">
        <v>155</v>
      </c>
      <c r="X117">
        <v>10.51</v>
      </c>
      <c r="Y117">
        <v>819</v>
      </c>
      <c r="Z117" t="s">
        <v>156</v>
      </c>
      <c r="AB117" s="29" t="s">
        <v>142</v>
      </c>
      <c r="AC117" s="29"/>
      <c r="AD117" t="s">
        <v>158</v>
      </c>
      <c r="AF117" t="s">
        <v>158</v>
      </c>
      <c r="AG117" s="29" t="s">
        <v>142</v>
      </c>
      <c r="AH117" s="29" t="s">
        <v>146</v>
      </c>
      <c r="AQ117">
        <v>6</v>
      </c>
      <c r="AS117" t="str">
        <f t="shared" si="1"/>
        <v>20250500|227-441922|M441922|28/04/2025|07/05/2025|14|S220|0|463156||6|20269985900|PLUZ ENERGﾍA PERﾚ S.A.A.|0|0|685.16|123.33|0|0|0|0|0.00|10.51|819|PEN||01/01/0001||-||-|01/01/0001|0|||||||||6|</v>
      </c>
    </row>
    <row r="118" spans="1:45" ht="15" customHeight="1" x14ac:dyDescent="0.25">
      <c r="A118">
        <v>111</v>
      </c>
      <c r="B118">
        <v>20250500</v>
      </c>
      <c r="C118" t="s">
        <v>308</v>
      </c>
      <c r="D118" t="s">
        <v>309</v>
      </c>
      <c r="E118" s="29" t="s">
        <v>165</v>
      </c>
      <c r="F118" s="29" t="s">
        <v>173</v>
      </c>
      <c r="G118" s="29" t="s">
        <v>12</v>
      </c>
      <c r="H118" s="29" t="s">
        <v>310</v>
      </c>
      <c r="I118">
        <v>0</v>
      </c>
      <c r="J118">
        <v>465077</v>
      </c>
      <c r="L118">
        <v>6</v>
      </c>
      <c r="M118" s="29" t="s">
        <v>196</v>
      </c>
      <c r="N118" t="s">
        <v>197</v>
      </c>
      <c r="O118">
        <v>0</v>
      </c>
      <c r="P118">
        <v>0</v>
      </c>
      <c r="Q118">
        <v>448.77</v>
      </c>
      <c r="R118">
        <v>80.78</v>
      </c>
      <c r="S118">
        <v>0</v>
      </c>
      <c r="T118">
        <v>0</v>
      </c>
      <c r="U118">
        <v>0</v>
      </c>
      <c r="V118">
        <v>0</v>
      </c>
      <c r="W118" s="28" t="s">
        <v>155</v>
      </c>
      <c r="X118">
        <v>6.95</v>
      </c>
      <c r="Y118">
        <v>536.5</v>
      </c>
      <c r="Z118" t="s">
        <v>156</v>
      </c>
      <c r="AB118" s="29" t="s">
        <v>142</v>
      </c>
      <c r="AC118" s="29"/>
      <c r="AD118" t="s">
        <v>158</v>
      </c>
      <c r="AF118" t="s">
        <v>158</v>
      </c>
      <c r="AG118" s="29" t="s">
        <v>142</v>
      </c>
      <c r="AH118" s="29" t="s">
        <v>146</v>
      </c>
      <c r="AQ118">
        <v>6</v>
      </c>
      <c r="AS118" t="str">
        <f t="shared" si="1"/>
        <v>20250500|227-441923|M441923|28/04/2025|07/05/2025|14|S220|0|465077||6|20269985900|PLUZ ENERGﾍA PERﾚ S.A.A.|0|0|448.77|80.78|0|0|0|0|0.00|6.95|536.5|PEN||01/01/0001||-||-|01/01/0001|0|||||||||6|</v>
      </c>
    </row>
    <row r="119" spans="1:45" ht="15" customHeight="1" x14ac:dyDescent="0.25">
      <c r="A119">
        <v>112</v>
      </c>
      <c r="B119">
        <v>20250500</v>
      </c>
      <c r="C119" t="s">
        <v>311</v>
      </c>
      <c r="D119" t="s">
        <v>312</v>
      </c>
      <c r="E119" s="29" t="s">
        <v>165</v>
      </c>
      <c r="F119" s="29" t="s">
        <v>173</v>
      </c>
      <c r="G119" s="29" t="s">
        <v>12</v>
      </c>
      <c r="H119" s="29" t="s">
        <v>310</v>
      </c>
      <c r="I119">
        <v>0</v>
      </c>
      <c r="J119">
        <v>465078</v>
      </c>
      <c r="L119">
        <v>6</v>
      </c>
      <c r="M119" s="29" t="s">
        <v>196</v>
      </c>
      <c r="N119" t="s">
        <v>197</v>
      </c>
      <c r="O119">
        <v>0</v>
      </c>
      <c r="P119">
        <v>0</v>
      </c>
      <c r="Q119">
        <v>554.87</v>
      </c>
      <c r="R119">
        <v>99.88</v>
      </c>
      <c r="S119">
        <v>0</v>
      </c>
      <c r="T119">
        <v>0</v>
      </c>
      <c r="U119">
        <v>0</v>
      </c>
      <c r="V119">
        <v>0</v>
      </c>
      <c r="W119" s="28" t="s">
        <v>155</v>
      </c>
      <c r="X119">
        <v>8.75</v>
      </c>
      <c r="Y119">
        <v>663.5</v>
      </c>
      <c r="Z119" t="s">
        <v>156</v>
      </c>
      <c r="AB119" s="29" t="s">
        <v>142</v>
      </c>
      <c r="AC119" s="29"/>
      <c r="AD119" t="s">
        <v>158</v>
      </c>
      <c r="AF119" t="s">
        <v>158</v>
      </c>
      <c r="AG119" s="29" t="s">
        <v>142</v>
      </c>
      <c r="AH119" s="29" t="s">
        <v>146</v>
      </c>
      <c r="AQ119">
        <v>6</v>
      </c>
      <c r="AS119" t="str">
        <f t="shared" si="1"/>
        <v>20250500|227-441925|M441925|28/04/2025|07/05/2025|14|S220|0|465078||6|20269985900|PLUZ ENERGﾍA PERﾚ S.A.A.|0|0|554.87|99.88|0|0|0|0|0.00|8.75|663.5|PEN||01/01/0001||-||-|01/01/0001|0|||||||||6|</v>
      </c>
    </row>
    <row r="120" spans="1:45" s="35" customFormat="1" ht="15" customHeight="1" x14ac:dyDescent="0.25">
      <c r="A120">
        <v>113</v>
      </c>
      <c r="B120">
        <v>20250500</v>
      </c>
      <c r="C120" t="s">
        <v>313</v>
      </c>
      <c r="D120" t="s">
        <v>314</v>
      </c>
      <c r="E120" s="29" t="s">
        <v>165</v>
      </c>
      <c r="F120" s="29" t="s">
        <v>173</v>
      </c>
      <c r="G120" s="29" t="s">
        <v>12</v>
      </c>
      <c r="H120" s="29" t="s">
        <v>310</v>
      </c>
      <c r="I120">
        <v>0</v>
      </c>
      <c r="J120">
        <v>465079</v>
      </c>
      <c r="K120"/>
      <c r="L120">
        <v>6</v>
      </c>
      <c r="M120" s="29" t="s">
        <v>196</v>
      </c>
      <c r="N120" t="s">
        <v>197</v>
      </c>
      <c r="O120">
        <v>0</v>
      </c>
      <c r="P120">
        <v>0</v>
      </c>
      <c r="Q120">
        <v>224.89</v>
      </c>
      <c r="R120">
        <v>40.479999999999997</v>
      </c>
      <c r="S120">
        <v>0</v>
      </c>
      <c r="T120">
        <v>0</v>
      </c>
      <c r="U120">
        <v>0</v>
      </c>
      <c r="V120">
        <v>0</v>
      </c>
      <c r="W120" s="28" t="s">
        <v>155</v>
      </c>
      <c r="X120">
        <v>3.63</v>
      </c>
      <c r="Y120">
        <v>269</v>
      </c>
      <c r="Z120" t="s">
        <v>156</v>
      </c>
      <c r="AA120"/>
      <c r="AB120" s="29" t="s">
        <v>142</v>
      </c>
      <c r="AC120" s="29"/>
      <c r="AD120" t="s">
        <v>158</v>
      </c>
      <c r="AE120"/>
      <c r="AF120" t="s">
        <v>158</v>
      </c>
      <c r="AG120" s="29" t="s">
        <v>142</v>
      </c>
      <c r="AH120" s="29" t="s">
        <v>146</v>
      </c>
      <c r="AI120"/>
      <c r="AJ120"/>
      <c r="AK120"/>
      <c r="AL120"/>
      <c r="AM120"/>
      <c r="AN120"/>
      <c r="AO120"/>
      <c r="AP120"/>
      <c r="AQ120">
        <v>6</v>
      </c>
      <c r="AR120"/>
      <c r="AS120" t="str">
        <f t="shared" si="1"/>
        <v>20250500|227-441928|M441928|28/04/2025|07/05/2025|14|S220|0|465079||6|20269985900|PLUZ ENERGﾍA PERﾚ S.A.A.|0|0|224.89|40.48|0|0|0|0|0.00|3.63|269|PEN||01/01/0001||-||-|01/01/0001|0|||||||||6|</v>
      </c>
    </row>
    <row r="121" spans="1:45" ht="15" customHeight="1" x14ac:dyDescent="0.25">
      <c r="A121">
        <v>114</v>
      </c>
      <c r="B121">
        <v>20250500</v>
      </c>
      <c r="C121" t="s">
        <v>554</v>
      </c>
      <c r="D121" t="s">
        <v>555</v>
      </c>
      <c r="E121" s="29" t="s">
        <v>165</v>
      </c>
      <c r="F121" s="29" t="s">
        <v>173</v>
      </c>
      <c r="G121" s="29" t="s">
        <v>12</v>
      </c>
      <c r="H121" s="29" t="s">
        <v>310</v>
      </c>
      <c r="I121">
        <v>0</v>
      </c>
      <c r="J121">
        <v>465080</v>
      </c>
      <c r="L121">
        <v>6</v>
      </c>
      <c r="M121" s="29" t="s">
        <v>196</v>
      </c>
      <c r="N121" t="s">
        <v>197</v>
      </c>
      <c r="O121">
        <v>0</v>
      </c>
      <c r="P121">
        <v>0</v>
      </c>
      <c r="Q121">
        <v>447.78</v>
      </c>
      <c r="R121">
        <v>80.599999999999994</v>
      </c>
      <c r="S121">
        <v>0</v>
      </c>
      <c r="T121">
        <v>0</v>
      </c>
      <c r="U121">
        <v>0</v>
      </c>
      <c r="V121">
        <v>0</v>
      </c>
      <c r="W121" s="28" t="s">
        <v>155</v>
      </c>
      <c r="X121">
        <v>6.62</v>
      </c>
      <c r="Y121">
        <v>535</v>
      </c>
      <c r="Z121" t="s">
        <v>156</v>
      </c>
      <c r="AB121" s="29" t="s">
        <v>142</v>
      </c>
      <c r="AC121" s="29"/>
      <c r="AD121" t="s">
        <v>158</v>
      </c>
      <c r="AF121" t="s">
        <v>158</v>
      </c>
      <c r="AG121" s="29" t="s">
        <v>142</v>
      </c>
      <c r="AH121" s="29" t="s">
        <v>146</v>
      </c>
      <c r="AQ121">
        <v>6</v>
      </c>
      <c r="AS121" t="str">
        <f t="shared" si="1"/>
        <v>20250500|227-441931|M441931|28/04/2025|07/05/2025|14|S220|0|465080||6|20269985900|PLUZ ENERGﾍA PERﾚ S.A.A.|0|0|447.78|80.6|0|0|0|0|0.00|6.62|535|PEN||01/01/0001||-||-|01/01/0001|0|||||||||6|</v>
      </c>
    </row>
    <row r="122" spans="1:45" ht="15" customHeight="1" x14ac:dyDescent="0.25">
      <c r="A122">
        <v>115</v>
      </c>
      <c r="B122">
        <v>20250500</v>
      </c>
      <c r="C122" t="s">
        <v>387</v>
      </c>
      <c r="D122" t="s">
        <v>388</v>
      </c>
      <c r="E122" s="29" t="s">
        <v>165</v>
      </c>
      <c r="F122" s="29" t="s">
        <v>173</v>
      </c>
      <c r="G122" s="29" t="s">
        <v>12</v>
      </c>
      <c r="H122" s="29" t="s">
        <v>310</v>
      </c>
      <c r="I122">
        <v>0</v>
      </c>
      <c r="J122">
        <v>465081</v>
      </c>
      <c r="L122">
        <v>6</v>
      </c>
      <c r="M122" s="29" t="s">
        <v>196</v>
      </c>
      <c r="N122" t="s">
        <v>197</v>
      </c>
      <c r="O122">
        <v>0</v>
      </c>
      <c r="P122">
        <v>0</v>
      </c>
      <c r="Q122">
        <v>322.39999999999998</v>
      </c>
      <c r="R122">
        <v>58.03</v>
      </c>
      <c r="S122">
        <v>0</v>
      </c>
      <c r="T122">
        <v>0</v>
      </c>
      <c r="U122">
        <v>0</v>
      </c>
      <c r="V122">
        <v>0</v>
      </c>
      <c r="W122" s="28" t="s">
        <v>155</v>
      </c>
      <c r="X122">
        <v>4.57</v>
      </c>
      <c r="Y122">
        <v>385</v>
      </c>
      <c r="Z122" t="s">
        <v>156</v>
      </c>
      <c r="AB122" s="29" t="s">
        <v>142</v>
      </c>
      <c r="AC122" s="29"/>
      <c r="AD122" t="s">
        <v>158</v>
      </c>
      <c r="AF122" t="s">
        <v>158</v>
      </c>
      <c r="AG122" s="29" t="s">
        <v>142</v>
      </c>
      <c r="AH122" s="29" t="s">
        <v>146</v>
      </c>
      <c r="AQ122">
        <v>6</v>
      </c>
      <c r="AS122" t="str">
        <f t="shared" si="1"/>
        <v>20250500|227-441933|M441933|28/04/2025|07/05/2025|14|S220|0|465081||6|20269985900|PLUZ ENERGﾍA PERﾚ S.A.A.|0|0|322.4|58.03|0|0|0|0|0.00|4.57|385|PEN||01/01/0001||-||-|01/01/0001|0|||||||||6|</v>
      </c>
    </row>
    <row r="123" spans="1:45" ht="15" customHeight="1" x14ac:dyDescent="0.25">
      <c r="A123">
        <v>116</v>
      </c>
      <c r="B123">
        <v>20250500</v>
      </c>
      <c r="C123" t="s">
        <v>419</v>
      </c>
      <c r="D123" t="s">
        <v>420</v>
      </c>
      <c r="E123" s="29" t="s">
        <v>165</v>
      </c>
      <c r="F123" s="29" t="s">
        <v>173</v>
      </c>
      <c r="G123" s="29" t="s">
        <v>12</v>
      </c>
      <c r="H123" s="29" t="s">
        <v>310</v>
      </c>
      <c r="I123">
        <v>0</v>
      </c>
      <c r="J123">
        <v>465082</v>
      </c>
      <c r="L123">
        <v>6</v>
      </c>
      <c r="M123" s="29" t="s">
        <v>196</v>
      </c>
      <c r="N123" t="s">
        <v>197</v>
      </c>
      <c r="O123">
        <v>0</v>
      </c>
      <c r="P123">
        <v>0</v>
      </c>
      <c r="Q123">
        <v>246.82</v>
      </c>
      <c r="R123">
        <v>44.43</v>
      </c>
      <c r="S123">
        <v>0</v>
      </c>
      <c r="T123">
        <v>0</v>
      </c>
      <c r="U123">
        <v>0</v>
      </c>
      <c r="V123">
        <v>0</v>
      </c>
      <c r="W123" s="28" t="s">
        <v>155</v>
      </c>
      <c r="X123">
        <v>3.25</v>
      </c>
      <c r="Y123">
        <v>294.5</v>
      </c>
      <c r="Z123" t="s">
        <v>156</v>
      </c>
      <c r="AB123" s="29" t="s">
        <v>142</v>
      </c>
      <c r="AC123" s="29"/>
      <c r="AD123" t="s">
        <v>158</v>
      </c>
      <c r="AF123" t="s">
        <v>158</v>
      </c>
      <c r="AG123" s="29" t="s">
        <v>142</v>
      </c>
      <c r="AH123" s="29" t="s">
        <v>146</v>
      </c>
      <c r="AQ123">
        <v>6</v>
      </c>
      <c r="AS123" t="str">
        <f t="shared" si="1"/>
        <v>20250500|227-441935|M441935|28/04/2025|07/05/2025|14|S220|0|465082||6|20269985900|PLUZ ENERGﾍA PERﾚ S.A.A.|0|0|246.82|44.43|0|0|0|0|0.00|3.25|294.5|PEN||01/01/0001||-||-|01/01/0001|0|||||||||6|</v>
      </c>
    </row>
    <row r="124" spans="1:45" ht="15" customHeight="1" x14ac:dyDescent="0.25">
      <c r="A124">
        <v>117</v>
      </c>
      <c r="B124">
        <v>20250500</v>
      </c>
      <c r="C124" t="s">
        <v>515</v>
      </c>
      <c r="D124" t="s">
        <v>516</v>
      </c>
      <c r="E124" s="29" t="s">
        <v>165</v>
      </c>
      <c r="F124" s="29" t="s">
        <v>173</v>
      </c>
      <c r="G124" s="29" t="s">
        <v>12</v>
      </c>
      <c r="H124" s="29" t="s">
        <v>310</v>
      </c>
      <c r="I124">
        <v>0</v>
      </c>
      <c r="J124">
        <v>465083</v>
      </c>
      <c r="L124">
        <v>6</v>
      </c>
      <c r="M124" s="29" t="s">
        <v>196</v>
      </c>
      <c r="N124" t="s">
        <v>197</v>
      </c>
      <c r="O124">
        <v>0</v>
      </c>
      <c r="P124">
        <v>0</v>
      </c>
      <c r="Q124">
        <v>461.04</v>
      </c>
      <c r="R124">
        <v>82.99</v>
      </c>
      <c r="S124">
        <v>0</v>
      </c>
      <c r="T124">
        <v>0</v>
      </c>
      <c r="U124">
        <v>0</v>
      </c>
      <c r="V124">
        <v>0</v>
      </c>
      <c r="W124" s="28" t="s">
        <v>155</v>
      </c>
      <c r="X124">
        <v>6.97</v>
      </c>
      <c r="Y124">
        <v>551</v>
      </c>
      <c r="Z124" t="s">
        <v>156</v>
      </c>
      <c r="AB124" s="29" t="s">
        <v>142</v>
      </c>
      <c r="AC124" s="29"/>
      <c r="AD124" t="s">
        <v>158</v>
      </c>
      <c r="AF124" t="s">
        <v>158</v>
      </c>
      <c r="AG124" s="29" t="s">
        <v>142</v>
      </c>
      <c r="AH124" s="29" t="s">
        <v>146</v>
      </c>
      <c r="AQ124">
        <v>6</v>
      </c>
      <c r="AS124" t="str">
        <f t="shared" si="1"/>
        <v>20250500|227-441937|M441937|28/04/2025|07/05/2025|14|S220|0|465083||6|20269985900|PLUZ ENERGﾍA PERﾚ S.A.A.|0|0|461.04|82.99|0|0|0|0|0.00|6.97|551|PEN||01/01/0001||-||-|01/01/0001|0|||||||||6|</v>
      </c>
    </row>
    <row r="125" spans="1:45" ht="15" customHeight="1" x14ac:dyDescent="0.25">
      <c r="A125">
        <v>118</v>
      </c>
      <c r="B125">
        <v>20250500</v>
      </c>
      <c r="C125" t="s">
        <v>470</v>
      </c>
      <c r="D125" t="s">
        <v>471</v>
      </c>
      <c r="E125" s="29" t="s">
        <v>165</v>
      </c>
      <c r="F125" s="29" t="s">
        <v>173</v>
      </c>
      <c r="G125" s="29" t="s">
        <v>12</v>
      </c>
      <c r="H125" s="29" t="s">
        <v>310</v>
      </c>
      <c r="I125">
        <v>0</v>
      </c>
      <c r="J125">
        <v>467307</v>
      </c>
      <c r="L125">
        <v>6</v>
      </c>
      <c r="M125" s="29" t="s">
        <v>196</v>
      </c>
      <c r="N125" t="s">
        <v>197</v>
      </c>
      <c r="O125">
        <v>0</v>
      </c>
      <c r="P125">
        <v>0</v>
      </c>
      <c r="Q125">
        <v>55.94</v>
      </c>
      <c r="R125">
        <v>10.07</v>
      </c>
      <c r="S125">
        <v>0</v>
      </c>
      <c r="T125">
        <v>0</v>
      </c>
      <c r="U125">
        <v>0</v>
      </c>
      <c r="V125">
        <v>0</v>
      </c>
      <c r="W125" s="28" t="s">
        <v>155</v>
      </c>
      <c r="X125">
        <v>0.49</v>
      </c>
      <c r="Y125">
        <v>66.5</v>
      </c>
      <c r="Z125" t="s">
        <v>156</v>
      </c>
      <c r="AB125" s="29" t="s">
        <v>142</v>
      </c>
      <c r="AC125" s="29"/>
      <c r="AD125" t="s">
        <v>158</v>
      </c>
      <c r="AF125" t="s">
        <v>158</v>
      </c>
      <c r="AG125" s="29" t="s">
        <v>142</v>
      </c>
      <c r="AH125" s="29" t="s">
        <v>146</v>
      </c>
      <c r="AQ125">
        <v>6</v>
      </c>
      <c r="AS125" t="str">
        <f t="shared" si="1"/>
        <v>20250500|227-441940|M441940|28/04/2025|07/05/2025|14|S220|0|467307||6|20269985900|PLUZ ENERGﾍA PERﾚ S.A.A.|0|0|55.94|10.07|0|0|0|0|0.00|0.49|66.5|PEN||01/01/0001||-||-|01/01/0001|0|||||||||6|</v>
      </c>
    </row>
    <row r="126" spans="1:45" ht="15" customHeight="1" x14ac:dyDescent="0.25">
      <c r="A126">
        <v>119</v>
      </c>
      <c r="B126">
        <v>20250500</v>
      </c>
      <c r="C126" t="s">
        <v>517</v>
      </c>
      <c r="D126" t="s">
        <v>518</v>
      </c>
      <c r="E126" s="29" t="s">
        <v>165</v>
      </c>
      <c r="F126" s="29" t="s">
        <v>173</v>
      </c>
      <c r="G126" s="29" t="s">
        <v>12</v>
      </c>
      <c r="H126" s="29" t="s">
        <v>310</v>
      </c>
      <c r="I126">
        <v>0</v>
      </c>
      <c r="J126">
        <v>467308</v>
      </c>
      <c r="L126">
        <v>6</v>
      </c>
      <c r="M126" s="29" t="s">
        <v>196</v>
      </c>
      <c r="N126" t="s">
        <v>197</v>
      </c>
      <c r="O126">
        <v>0</v>
      </c>
      <c r="P126">
        <v>0</v>
      </c>
      <c r="Q126">
        <v>1188.51</v>
      </c>
      <c r="R126">
        <v>213.93</v>
      </c>
      <c r="S126">
        <v>0</v>
      </c>
      <c r="T126">
        <v>0</v>
      </c>
      <c r="U126">
        <v>0</v>
      </c>
      <c r="V126">
        <v>0</v>
      </c>
      <c r="W126" s="28" t="s">
        <v>155</v>
      </c>
      <c r="X126">
        <v>18.559999999999999</v>
      </c>
      <c r="Y126">
        <v>1421</v>
      </c>
      <c r="Z126" t="s">
        <v>156</v>
      </c>
      <c r="AB126" s="29" t="s">
        <v>142</v>
      </c>
      <c r="AC126" s="29"/>
      <c r="AD126" t="s">
        <v>158</v>
      </c>
      <c r="AF126" t="s">
        <v>158</v>
      </c>
      <c r="AG126" s="29" t="s">
        <v>142</v>
      </c>
      <c r="AH126" s="29" t="s">
        <v>146</v>
      </c>
      <c r="AQ126">
        <v>6</v>
      </c>
      <c r="AS126" t="str">
        <f t="shared" si="1"/>
        <v>20250500|227-441941|M441941|28/04/2025|07/05/2025|14|S220|0|467308||6|20269985900|PLUZ ENERGﾍA PERﾚ S.A.A.|0|0|1188.51|213.93|0|0|0|0|0.00|18.56|1421|PEN||01/01/0001||-||-|01/01/0001|0|||||||||6|</v>
      </c>
    </row>
    <row r="127" spans="1:45" s="35" customFormat="1" ht="15" customHeight="1" x14ac:dyDescent="0.25">
      <c r="A127">
        <v>120</v>
      </c>
      <c r="B127">
        <v>20250500</v>
      </c>
      <c r="C127" t="s">
        <v>472</v>
      </c>
      <c r="D127" t="s">
        <v>473</v>
      </c>
      <c r="E127" s="29" t="s">
        <v>165</v>
      </c>
      <c r="F127" s="29" t="s">
        <v>173</v>
      </c>
      <c r="G127" s="29" t="s">
        <v>12</v>
      </c>
      <c r="H127" s="29" t="s">
        <v>310</v>
      </c>
      <c r="I127">
        <v>0</v>
      </c>
      <c r="J127">
        <v>467310</v>
      </c>
      <c r="K127"/>
      <c r="L127">
        <v>6</v>
      </c>
      <c r="M127" s="29" t="s">
        <v>196</v>
      </c>
      <c r="N127" t="s">
        <v>197</v>
      </c>
      <c r="O127">
        <v>0</v>
      </c>
      <c r="P127">
        <v>0</v>
      </c>
      <c r="Q127">
        <v>819.83</v>
      </c>
      <c r="R127">
        <v>147.57</v>
      </c>
      <c r="S127">
        <v>0</v>
      </c>
      <c r="T127">
        <v>0</v>
      </c>
      <c r="U127">
        <v>0</v>
      </c>
      <c r="V127">
        <v>0</v>
      </c>
      <c r="W127" s="28" t="s">
        <v>155</v>
      </c>
      <c r="X127">
        <v>0.1</v>
      </c>
      <c r="Y127">
        <v>967.5</v>
      </c>
      <c r="Z127" t="s">
        <v>156</v>
      </c>
      <c r="AA127"/>
      <c r="AB127" s="29" t="s">
        <v>142</v>
      </c>
      <c r="AC127" s="29"/>
      <c r="AD127" t="s">
        <v>158</v>
      </c>
      <c r="AE127"/>
      <c r="AF127" t="s">
        <v>158</v>
      </c>
      <c r="AG127" s="29" t="s">
        <v>142</v>
      </c>
      <c r="AH127" s="29" t="s">
        <v>146</v>
      </c>
      <c r="AI127"/>
      <c r="AJ127"/>
      <c r="AK127"/>
      <c r="AL127"/>
      <c r="AM127"/>
      <c r="AN127"/>
      <c r="AO127"/>
      <c r="AP127"/>
      <c r="AQ127">
        <v>6</v>
      </c>
      <c r="AR127"/>
      <c r="AS127" t="str">
        <f t="shared" si="1"/>
        <v>20250500|227-441942|M441942|28/04/2025|07/05/2025|14|S220|0|467310||6|20269985900|PLUZ ENERGﾍA PERﾚ S.A.A.|0|0|819.83|147.57|0|0|0|0|0.00|0.1|967.5|PEN||01/01/0001||-||-|01/01/0001|0|||||||||6|</v>
      </c>
    </row>
    <row r="128" spans="1:45" ht="15" customHeight="1" x14ac:dyDescent="0.25">
      <c r="A128">
        <v>121</v>
      </c>
      <c r="B128">
        <v>20250500</v>
      </c>
      <c r="C128" t="s">
        <v>556</v>
      </c>
      <c r="D128" t="s">
        <v>557</v>
      </c>
      <c r="E128" s="29" t="s">
        <v>165</v>
      </c>
      <c r="F128" s="29" t="s">
        <v>173</v>
      </c>
      <c r="G128" s="29" t="s">
        <v>12</v>
      </c>
      <c r="H128" s="29" t="s">
        <v>310</v>
      </c>
      <c r="I128">
        <v>0</v>
      </c>
      <c r="J128">
        <v>467311</v>
      </c>
      <c r="L128">
        <v>6</v>
      </c>
      <c r="M128" s="29" t="s">
        <v>196</v>
      </c>
      <c r="N128" t="s">
        <v>197</v>
      </c>
      <c r="O128">
        <v>0</v>
      </c>
      <c r="P128">
        <v>0</v>
      </c>
      <c r="Q128">
        <v>411.93</v>
      </c>
      <c r="R128">
        <v>74.150000000000006</v>
      </c>
      <c r="S128">
        <v>0</v>
      </c>
      <c r="T128">
        <v>0</v>
      </c>
      <c r="U128">
        <v>0</v>
      </c>
      <c r="V128">
        <v>0</v>
      </c>
      <c r="W128" s="28" t="s">
        <v>155</v>
      </c>
      <c r="X128">
        <v>5.92</v>
      </c>
      <c r="Y128">
        <v>492</v>
      </c>
      <c r="Z128" t="s">
        <v>156</v>
      </c>
      <c r="AB128" s="29" t="s">
        <v>142</v>
      </c>
      <c r="AC128" s="29"/>
      <c r="AD128" t="s">
        <v>158</v>
      </c>
      <c r="AF128" t="s">
        <v>158</v>
      </c>
      <c r="AG128" s="29" t="s">
        <v>142</v>
      </c>
      <c r="AH128" s="29" t="s">
        <v>146</v>
      </c>
      <c r="AQ128">
        <v>6</v>
      </c>
      <c r="AS128" t="str">
        <f t="shared" si="1"/>
        <v>20250500|227-441943|M441943|28/04/2025|07/05/2025|14|S220|0|467311||6|20269985900|PLUZ ENERGﾍA PERﾚ S.A.A.|0|0|411.93|74.15|0|0|0|0|0.00|5.92|492|PEN||01/01/0001||-||-|01/01/0001|0|||||||||6|</v>
      </c>
    </row>
    <row r="129" spans="1:45" ht="15" customHeight="1" x14ac:dyDescent="0.25">
      <c r="A129">
        <v>122</v>
      </c>
      <c r="B129">
        <v>20250500</v>
      </c>
      <c r="C129" t="s">
        <v>421</v>
      </c>
      <c r="D129" t="s">
        <v>422</v>
      </c>
      <c r="E129" s="29" t="s">
        <v>165</v>
      </c>
      <c r="F129" s="29" t="s">
        <v>173</v>
      </c>
      <c r="G129" s="29" t="s">
        <v>12</v>
      </c>
      <c r="H129" s="29" t="s">
        <v>310</v>
      </c>
      <c r="I129">
        <v>0</v>
      </c>
      <c r="J129">
        <v>467312</v>
      </c>
      <c r="L129">
        <v>6</v>
      </c>
      <c r="M129" s="29" t="s">
        <v>196</v>
      </c>
      <c r="N129" t="s">
        <v>197</v>
      </c>
      <c r="O129">
        <v>0</v>
      </c>
      <c r="P129">
        <v>0</v>
      </c>
      <c r="Q129">
        <v>539.96</v>
      </c>
      <c r="R129">
        <v>97.19</v>
      </c>
      <c r="S129">
        <v>0</v>
      </c>
      <c r="T129">
        <v>0</v>
      </c>
      <c r="U129">
        <v>0</v>
      </c>
      <c r="V129">
        <v>0</v>
      </c>
      <c r="W129" s="28" t="s">
        <v>155</v>
      </c>
      <c r="X129">
        <v>7.85</v>
      </c>
      <c r="Y129">
        <v>645</v>
      </c>
      <c r="Z129" t="s">
        <v>156</v>
      </c>
      <c r="AB129" s="29" t="s">
        <v>142</v>
      </c>
      <c r="AC129" s="29"/>
      <c r="AD129" t="s">
        <v>158</v>
      </c>
      <c r="AF129" t="s">
        <v>158</v>
      </c>
      <c r="AG129" s="29" t="s">
        <v>142</v>
      </c>
      <c r="AH129" s="29" t="s">
        <v>146</v>
      </c>
      <c r="AQ129">
        <v>6</v>
      </c>
      <c r="AS129" t="str">
        <f t="shared" si="1"/>
        <v>20250500|227-441944|M441944|28/04/2025|07/05/2025|14|S220|0|467312||6|20269985900|PLUZ ENERGﾍA PERﾚ S.A.A.|0|0|539.96|97.19|0|0|0|0|0.00|7.85|645|PEN||01/01/0001||-||-|01/01/0001|0|||||||||6|</v>
      </c>
    </row>
    <row r="130" spans="1:45" s="35" customFormat="1" ht="15" customHeight="1" x14ac:dyDescent="0.25">
      <c r="A130">
        <v>123</v>
      </c>
      <c r="B130">
        <v>20250500</v>
      </c>
      <c r="C130" t="s">
        <v>358</v>
      </c>
      <c r="D130" t="s">
        <v>359</v>
      </c>
      <c r="E130" s="29" t="s">
        <v>165</v>
      </c>
      <c r="F130" s="29" t="s">
        <v>173</v>
      </c>
      <c r="G130" s="29" t="s">
        <v>12</v>
      </c>
      <c r="H130" s="29" t="s">
        <v>310</v>
      </c>
      <c r="I130">
        <v>0</v>
      </c>
      <c r="J130">
        <v>467313</v>
      </c>
      <c r="K130"/>
      <c r="L130">
        <v>6</v>
      </c>
      <c r="M130" s="29" t="s">
        <v>196</v>
      </c>
      <c r="N130" t="s">
        <v>197</v>
      </c>
      <c r="O130">
        <v>0</v>
      </c>
      <c r="P130">
        <v>0</v>
      </c>
      <c r="Q130">
        <v>462.37</v>
      </c>
      <c r="R130">
        <v>83.23</v>
      </c>
      <c r="S130">
        <v>0</v>
      </c>
      <c r="T130">
        <v>0</v>
      </c>
      <c r="U130">
        <v>0</v>
      </c>
      <c r="V130">
        <v>0</v>
      </c>
      <c r="W130" s="28" t="s">
        <v>155</v>
      </c>
      <c r="X130">
        <v>6.9</v>
      </c>
      <c r="Y130">
        <v>552.5</v>
      </c>
      <c r="Z130" t="s">
        <v>156</v>
      </c>
      <c r="AA130"/>
      <c r="AB130" s="29" t="s">
        <v>142</v>
      </c>
      <c r="AC130" s="29"/>
      <c r="AD130" t="s">
        <v>158</v>
      </c>
      <c r="AE130"/>
      <c r="AF130" t="s">
        <v>158</v>
      </c>
      <c r="AG130" s="29" t="s">
        <v>142</v>
      </c>
      <c r="AH130" s="29" t="s">
        <v>146</v>
      </c>
      <c r="AI130"/>
      <c r="AJ130"/>
      <c r="AK130"/>
      <c r="AL130"/>
      <c r="AM130"/>
      <c r="AN130"/>
      <c r="AO130"/>
      <c r="AP130"/>
      <c r="AQ130">
        <v>6</v>
      </c>
      <c r="AR130"/>
      <c r="AS130" t="str">
        <f t="shared" si="1"/>
        <v>20250500|227-441945|M441945|28/04/2025|07/05/2025|14|S220|0|467313||6|20269985900|PLUZ ENERGﾍA PERﾚ S.A.A.|0|0|462.37|83.23|0|0|0|0|0.00|6.9|552.5|PEN||01/01/0001||-||-|01/01/0001|0|||||||||6|</v>
      </c>
    </row>
    <row r="131" spans="1:45" ht="15" customHeight="1" x14ac:dyDescent="0.25">
      <c r="A131">
        <v>124</v>
      </c>
      <c r="B131">
        <v>20250500</v>
      </c>
      <c r="C131" t="s">
        <v>474</v>
      </c>
      <c r="D131" t="s">
        <v>475</v>
      </c>
      <c r="E131" s="29" t="s">
        <v>165</v>
      </c>
      <c r="F131" s="29" t="s">
        <v>173</v>
      </c>
      <c r="G131" s="29" t="s">
        <v>12</v>
      </c>
      <c r="H131" s="29" t="s">
        <v>310</v>
      </c>
      <c r="I131">
        <v>0</v>
      </c>
      <c r="J131">
        <v>469559</v>
      </c>
      <c r="L131">
        <v>6</v>
      </c>
      <c r="M131" s="29" t="s">
        <v>196</v>
      </c>
      <c r="N131" t="s">
        <v>197</v>
      </c>
      <c r="O131">
        <v>0</v>
      </c>
      <c r="P131">
        <v>0</v>
      </c>
      <c r="Q131">
        <v>734.97</v>
      </c>
      <c r="R131">
        <v>132.29</v>
      </c>
      <c r="S131">
        <v>0</v>
      </c>
      <c r="T131">
        <v>0</v>
      </c>
      <c r="U131">
        <v>0</v>
      </c>
      <c r="V131">
        <v>0</v>
      </c>
      <c r="W131" s="28" t="s">
        <v>155</v>
      </c>
      <c r="X131">
        <v>10.74</v>
      </c>
      <c r="Y131">
        <v>878</v>
      </c>
      <c r="Z131" t="s">
        <v>156</v>
      </c>
      <c r="AB131" s="29" t="s">
        <v>142</v>
      </c>
      <c r="AC131" s="29"/>
      <c r="AD131" t="s">
        <v>158</v>
      </c>
      <c r="AF131" t="s">
        <v>158</v>
      </c>
      <c r="AG131" s="29" t="s">
        <v>142</v>
      </c>
      <c r="AH131" s="29" t="s">
        <v>146</v>
      </c>
      <c r="AQ131">
        <v>6</v>
      </c>
      <c r="AS131" t="str">
        <f t="shared" si="1"/>
        <v>20250500|227-441946|M441946|28/04/2025|07/05/2025|14|S220|0|469559||6|20269985900|PLUZ ENERGﾍA PERﾚ S.A.A.|0|0|734.97|132.29|0|0|0|0|0.00|10.74|878|PEN||01/01/0001||-||-|01/01/0001|0|||||||||6|</v>
      </c>
    </row>
    <row r="132" spans="1:45" ht="15" customHeight="1" x14ac:dyDescent="0.25">
      <c r="A132">
        <v>125</v>
      </c>
      <c r="B132">
        <v>20250500</v>
      </c>
      <c r="C132" t="s">
        <v>389</v>
      </c>
      <c r="D132" t="s">
        <v>390</v>
      </c>
      <c r="E132" s="29" t="s">
        <v>165</v>
      </c>
      <c r="F132" s="29" t="s">
        <v>173</v>
      </c>
      <c r="G132" s="29" t="s">
        <v>12</v>
      </c>
      <c r="H132" s="29" t="s">
        <v>310</v>
      </c>
      <c r="I132">
        <v>0</v>
      </c>
      <c r="J132">
        <v>469560</v>
      </c>
      <c r="L132">
        <v>6</v>
      </c>
      <c r="M132" s="29" t="s">
        <v>196</v>
      </c>
      <c r="N132" t="s">
        <v>197</v>
      </c>
      <c r="O132">
        <v>0</v>
      </c>
      <c r="P132">
        <v>0</v>
      </c>
      <c r="Q132">
        <v>831.11</v>
      </c>
      <c r="R132">
        <v>149.6</v>
      </c>
      <c r="S132">
        <v>0</v>
      </c>
      <c r="T132">
        <v>0</v>
      </c>
      <c r="U132">
        <v>0</v>
      </c>
      <c r="V132">
        <v>0</v>
      </c>
      <c r="W132" s="28" t="s">
        <v>155</v>
      </c>
      <c r="X132">
        <v>12.79</v>
      </c>
      <c r="Y132">
        <v>993.5</v>
      </c>
      <c r="Z132" t="s">
        <v>156</v>
      </c>
      <c r="AB132" s="29" t="s">
        <v>142</v>
      </c>
      <c r="AC132" s="29"/>
      <c r="AD132" t="s">
        <v>158</v>
      </c>
      <c r="AF132" t="s">
        <v>158</v>
      </c>
      <c r="AG132" s="29" t="s">
        <v>142</v>
      </c>
      <c r="AH132" s="29" t="s">
        <v>146</v>
      </c>
      <c r="AQ132">
        <v>6</v>
      </c>
      <c r="AS132" t="str">
        <f t="shared" si="1"/>
        <v>20250500|227-441947|M441947|28/04/2025|07/05/2025|14|S220|0|469560||6|20269985900|PLUZ ENERGﾍA PERﾚ S.A.A.|0|0|831.11|149.6|0|0|0|0|0.00|12.79|993.5|PEN||01/01/0001||-||-|01/01/0001|0|||||||||6|</v>
      </c>
    </row>
    <row r="133" spans="1:45" ht="15" customHeight="1" x14ac:dyDescent="0.25">
      <c r="A133">
        <v>126</v>
      </c>
      <c r="B133">
        <v>20250500</v>
      </c>
      <c r="C133" t="s">
        <v>437</v>
      </c>
      <c r="D133" t="s">
        <v>438</v>
      </c>
      <c r="E133" s="29" t="s">
        <v>166</v>
      </c>
      <c r="F133" s="29" t="s">
        <v>173</v>
      </c>
      <c r="G133" s="29" t="s">
        <v>12</v>
      </c>
      <c r="H133" s="29" t="s">
        <v>268</v>
      </c>
      <c r="I133">
        <v>0</v>
      </c>
      <c r="J133">
        <v>11550</v>
      </c>
      <c r="L133">
        <v>6</v>
      </c>
      <c r="M133" s="29" t="s">
        <v>196</v>
      </c>
      <c r="N133" t="s">
        <v>197</v>
      </c>
      <c r="O133">
        <v>0</v>
      </c>
      <c r="P133">
        <v>0</v>
      </c>
      <c r="Q133">
        <v>10.35</v>
      </c>
      <c r="R133">
        <v>1.86</v>
      </c>
      <c r="S133">
        <v>0</v>
      </c>
      <c r="T133">
        <v>0</v>
      </c>
      <c r="U133">
        <v>0</v>
      </c>
      <c r="V133">
        <v>0</v>
      </c>
      <c r="W133" s="28" t="s">
        <v>155</v>
      </c>
      <c r="X133">
        <v>0.28999999999999998</v>
      </c>
      <c r="Y133">
        <v>12.5</v>
      </c>
      <c r="Z133" t="s">
        <v>156</v>
      </c>
      <c r="AB133" s="29" t="s">
        <v>142</v>
      </c>
      <c r="AC133" s="29"/>
      <c r="AD133" t="s">
        <v>158</v>
      </c>
      <c r="AF133" t="s">
        <v>158</v>
      </c>
      <c r="AG133" s="29" t="s">
        <v>142</v>
      </c>
      <c r="AH133" s="29" t="s">
        <v>146</v>
      </c>
      <c r="AQ133">
        <v>6</v>
      </c>
      <c r="AS133" t="str">
        <f t="shared" si="1"/>
        <v>20250500|227-441948|M441948|24/04/2025|07/05/2025|14|S550|0|11550||6|20269985900|PLUZ ENERGﾍA PERﾚ S.A.A.|0|0|10.35|1.86|0|0|0|0|0.00|0.29|12.5|PEN||01/01/0001||-||-|01/01/0001|0|||||||||6|</v>
      </c>
    </row>
    <row r="134" spans="1:45" ht="15" customHeight="1" x14ac:dyDescent="0.25">
      <c r="A134">
        <v>127</v>
      </c>
      <c r="B134">
        <v>20250500</v>
      </c>
      <c r="C134" t="s">
        <v>235</v>
      </c>
      <c r="D134" t="s">
        <v>236</v>
      </c>
      <c r="E134" s="29" t="s">
        <v>166</v>
      </c>
      <c r="F134" s="29" t="s">
        <v>173</v>
      </c>
      <c r="G134" s="29" t="s">
        <v>12</v>
      </c>
      <c r="H134" s="29" t="s">
        <v>231</v>
      </c>
      <c r="I134">
        <v>0</v>
      </c>
      <c r="J134">
        <v>7317</v>
      </c>
      <c r="L134">
        <v>6</v>
      </c>
      <c r="M134" s="29" t="s">
        <v>196</v>
      </c>
      <c r="N134" t="s">
        <v>197</v>
      </c>
      <c r="O134">
        <v>0</v>
      </c>
      <c r="P134">
        <v>0</v>
      </c>
      <c r="Q134">
        <v>13119.63</v>
      </c>
      <c r="R134">
        <v>2361.5300000000002</v>
      </c>
      <c r="S134">
        <v>0</v>
      </c>
      <c r="T134">
        <v>0</v>
      </c>
      <c r="U134">
        <v>0</v>
      </c>
      <c r="V134">
        <v>0</v>
      </c>
      <c r="W134" s="28" t="s">
        <v>155</v>
      </c>
      <c r="X134">
        <v>264.33999999999997</v>
      </c>
      <c r="Y134">
        <v>15745.5</v>
      </c>
      <c r="Z134" t="s">
        <v>156</v>
      </c>
      <c r="AB134" s="29" t="s">
        <v>142</v>
      </c>
      <c r="AC134" s="29"/>
      <c r="AD134" t="s">
        <v>158</v>
      </c>
      <c r="AF134" t="s">
        <v>158</v>
      </c>
      <c r="AG134" s="29" t="s">
        <v>142</v>
      </c>
      <c r="AH134" s="29" t="s">
        <v>146</v>
      </c>
      <c r="AQ134">
        <v>6</v>
      </c>
      <c r="AS134" t="str">
        <f t="shared" si="1"/>
        <v>20250500|227-441949|M441949|24/04/2025|07/05/2025|14|S310|0|7317||6|20269985900|PLUZ ENERGﾍA PERﾚ S.A.A.|0|0|13119.63|2361.53|0|0|0|0|0.00|264.34|15745.5|PEN||01/01/0001||-||-|01/01/0001|0|||||||||6|</v>
      </c>
    </row>
    <row r="135" spans="1:45" ht="15" customHeight="1" x14ac:dyDescent="0.25">
      <c r="A135">
        <v>128</v>
      </c>
      <c r="B135">
        <v>20250500</v>
      </c>
      <c r="C135" t="s">
        <v>237</v>
      </c>
      <c r="D135" t="s">
        <v>238</v>
      </c>
      <c r="E135" s="29" t="s">
        <v>166</v>
      </c>
      <c r="F135" s="29" t="s">
        <v>173</v>
      </c>
      <c r="G135" s="29" t="s">
        <v>12</v>
      </c>
      <c r="H135" s="29" t="s">
        <v>239</v>
      </c>
      <c r="I135">
        <v>0</v>
      </c>
      <c r="J135">
        <v>7544</v>
      </c>
      <c r="L135">
        <v>6</v>
      </c>
      <c r="M135" s="29" t="s">
        <v>196</v>
      </c>
      <c r="N135" t="s">
        <v>197</v>
      </c>
      <c r="O135">
        <v>0</v>
      </c>
      <c r="P135">
        <v>0</v>
      </c>
      <c r="Q135">
        <v>368.67</v>
      </c>
      <c r="R135">
        <v>66.36</v>
      </c>
      <c r="S135">
        <v>0</v>
      </c>
      <c r="T135">
        <v>0</v>
      </c>
      <c r="U135">
        <v>0</v>
      </c>
      <c r="V135">
        <v>0</v>
      </c>
      <c r="W135" s="28" t="s">
        <v>155</v>
      </c>
      <c r="X135">
        <v>2.97</v>
      </c>
      <c r="Y135">
        <v>438</v>
      </c>
      <c r="Z135" t="s">
        <v>156</v>
      </c>
      <c r="AB135" s="29" t="s">
        <v>142</v>
      </c>
      <c r="AC135" s="29"/>
      <c r="AD135" t="s">
        <v>158</v>
      </c>
      <c r="AF135" t="s">
        <v>158</v>
      </c>
      <c r="AG135" s="29" t="s">
        <v>142</v>
      </c>
      <c r="AH135" s="29" t="s">
        <v>146</v>
      </c>
      <c r="AQ135">
        <v>6</v>
      </c>
      <c r="AS135" t="str">
        <f t="shared" si="1"/>
        <v>20250500|227-441950|M441950|24/04/2025|07/05/2025|14|S430|0|7544||6|20269985900|PLUZ ENERGﾍA PERﾚ S.A.A.|0|0|368.67|66.36|0|0|0|0|0.00|2.97|438|PEN||01/01/0001||-||-|01/01/0001|0|||||||||6|</v>
      </c>
    </row>
    <row r="136" spans="1:45" ht="15" customHeight="1" x14ac:dyDescent="0.25">
      <c r="A136">
        <v>129</v>
      </c>
      <c r="B136">
        <v>20250500</v>
      </c>
      <c r="C136" t="s">
        <v>356</v>
      </c>
      <c r="D136" t="s">
        <v>357</v>
      </c>
      <c r="E136" s="29" t="s">
        <v>165</v>
      </c>
      <c r="F136" s="29" t="s">
        <v>173</v>
      </c>
      <c r="G136" s="29" t="s">
        <v>12</v>
      </c>
      <c r="H136" s="29" t="s">
        <v>310</v>
      </c>
      <c r="I136">
        <v>0</v>
      </c>
      <c r="J136">
        <v>465084</v>
      </c>
      <c r="L136">
        <v>6</v>
      </c>
      <c r="M136" s="29" t="s">
        <v>196</v>
      </c>
      <c r="N136" t="s">
        <v>197</v>
      </c>
      <c r="O136">
        <v>0</v>
      </c>
      <c r="P136">
        <v>0</v>
      </c>
      <c r="Q136">
        <v>163.58000000000001</v>
      </c>
      <c r="R136">
        <v>29.44</v>
      </c>
      <c r="S136">
        <v>0</v>
      </c>
      <c r="T136">
        <v>0</v>
      </c>
      <c r="U136">
        <v>0</v>
      </c>
      <c r="V136">
        <v>0</v>
      </c>
      <c r="W136" s="28" t="s">
        <v>155</v>
      </c>
      <c r="X136">
        <v>2.48</v>
      </c>
      <c r="Y136">
        <v>195.5</v>
      </c>
      <c r="Z136" t="s">
        <v>156</v>
      </c>
      <c r="AB136" s="29" t="s">
        <v>142</v>
      </c>
      <c r="AC136" s="29"/>
      <c r="AD136" t="s">
        <v>158</v>
      </c>
      <c r="AF136" t="s">
        <v>158</v>
      </c>
      <c r="AG136" s="29" t="s">
        <v>142</v>
      </c>
      <c r="AH136" s="29" t="s">
        <v>146</v>
      </c>
      <c r="AQ136">
        <v>6</v>
      </c>
      <c r="AS136" t="str">
        <f t="shared" si="1"/>
        <v>20250500|227-441951|M441951|28/04/2025|07/05/2025|14|S220|0|465084||6|20269985900|PLUZ ENERGﾍA PERﾚ S.A.A.|0|0|163.58|29.44|0|0|0|0|0.00|2.48|195.5|PEN||01/01/0001||-||-|01/01/0001|0|||||||||6|</v>
      </c>
    </row>
    <row r="137" spans="1:45" ht="15" customHeight="1" x14ac:dyDescent="0.25">
      <c r="A137">
        <v>130</v>
      </c>
      <c r="B137">
        <v>20250500</v>
      </c>
      <c r="C137" t="s">
        <v>552</v>
      </c>
      <c r="D137" t="s">
        <v>553</v>
      </c>
      <c r="E137" s="29" t="s">
        <v>165</v>
      </c>
      <c r="F137" s="29" t="s">
        <v>173</v>
      </c>
      <c r="G137" s="29" t="s">
        <v>12</v>
      </c>
      <c r="H137" s="29" t="s">
        <v>310</v>
      </c>
      <c r="I137">
        <v>0</v>
      </c>
      <c r="J137">
        <v>463157</v>
      </c>
      <c r="L137">
        <v>6</v>
      </c>
      <c r="M137" s="29" t="s">
        <v>196</v>
      </c>
      <c r="N137" t="s">
        <v>197</v>
      </c>
      <c r="O137">
        <v>0</v>
      </c>
      <c r="P137">
        <v>0</v>
      </c>
      <c r="Q137">
        <v>144.96</v>
      </c>
      <c r="R137">
        <v>26.09</v>
      </c>
      <c r="S137">
        <v>0</v>
      </c>
      <c r="T137">
        <v>0</v>
      </c>
      <c r="U137">
        <v>0</v>
      </c>
      <c r="V137">
        <v>0</v>
      </c>
      <c r="W137" s="28" t="s">
        <v>155</v>
      </c>
      <c r="X137">
        <v>2.4500000000000002</v>
      </c>
      <c r="Y137">
        <v>173.5</v>
      </c>
      <c r="Z137" t="s">
        <v>156</v>
      </c>
      <c r="AB137" s="29" t="s">
        <v>142</v>
      </c>
      <c r="AC137" s="29"/>
      <c r="AD137" t="s">
        <v>158</v>
      </c>
      <c r="AF137" t="s">
        <v>158</v>
      </c>
      <c r="AG137" s="29" t="s">
        <v>142</v>
      </c>
      <c r="AH137" s="29" t="s">
        <v>146</v>
      </c>
      <c r="AQ137">
        <v>6</v>
      </c>
      <c r="AS137" t="str">
        <f t="shared" ref="AS137" si="2">+CONCATENATE(B137,"|",C137,"|",D137,"|",E137,"|",F137,"|", G137,"|",H137,"|",I137,"|",J137,"|",K137,"|",L137,"|",M137,"|",N137,"|",O137,"|",P137,"|",Q137,"|",R137,"|",S137,"|",T137,"|", U137,"|",V137,"|",W137,"|",X137,"|",Y137,"|",Z137,"|",AA137,"|",AB137,"|", AC137,"|",AD137,"|",AE137,"|",AF137,"|",AG137,"|",AH137,"|", AI137,"|",AJ137,"|",AK137,"|",AL137,"|",AM137,"|",AN137,"|",AO137,"|",AP137,"|",AQ137,"|")</f>
        <v>20250500|227-441953|M441953|28/04/2025|07/05/2025|14|S220|0|463157||6|20269985900|PLUZ ENERGﾍA PERﾚ S.A.A.|0|0|144.96|26.09|0|0|0|0|0.00|2.45|173.5|PEN||01/01/0001||-||-|01/01/0001|0|||||||||6|</v>
      </c>
    </row>
    <row r="138" spans="1:45" x14ac:dyDescent="0.25">
      <c r="Q138" s="27">
        <f>SUM(Q8:Q137)</f>
        <v>1208744.8900000001</v>
      </c>
      <c r="R138" s="27">
        <f>SUM(R8:R137)</f>
        <v>216535.71000000002</v>
      </c>
      <c r="S138" s="27">
        <f>SUM(S8:S137)</f>
        <v>0</v>
      </c>
      <c r="T138" s="27">
        <f>SUM(T8:T137)</f>
        <v>0</v>
      </c>
      <c r="U138" s="27">
        <f>SUM(U8:U137)</f>
        <v>3282.3</v>
      </c>
      <c r="V138" s="27">
        <f>SUM(V8:V137)</f>
        <v>0</v>
      </c>
      <c r="W138" s="27">
        <f>SUM(W8:W137)</f>
        <v>0</v>
      </c>
      <c r="X138" s="27">
        <f>SUM(X8:X137)</f>
        <v>12011.050000000001</v>
      </c>
      <c r="Y138" s="27">
        <f>SUM(Y8:Y137)</f>
        <v>1440573.95</v>
      </c>
    </row>
  </sheetData>
  <autoFilter ref="A7:AS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8.1</vt:lpstr>
      <vt:lpstr>'8.1'!LE2010003059520250500080100001111_3</vt:lpstr>
    </vt:vector>
  </TitlesOfParts>
  <Company>BN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CARLOS MEJIA GONZALES</dc:creator>
  <cp:lastModifiedBy>Fabricio Crespo Miranda</cp:lastModifiedBy>
  <cp:lastPrinted>2025-06-09T21:37:04Z</cp:lastPrinted>
  <dcterms:created xsi:type="dcterms:W3CDTF">2025-06-05T14:21:12Z</dcterms:created>
  <dcterms:modified xsi:type="dcterms:W3CDTF">2026-05-26T15:04:19Z</dcterms:modified>
</cp:coreProperties>
</file>